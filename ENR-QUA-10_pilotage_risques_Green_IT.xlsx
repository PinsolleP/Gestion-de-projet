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2.xml" ContentType="application/vnd.openxmlformats-officedocument.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facylitiesmultiservices-my.sharepoint.com/personal/paul_pinsolle_fms-ea_com/Documents/Bureau/Gestion-de-projet/"/>
    </mc:Choice>
  </mc:AlternateContent>
  <xr:revisionPtr revIDLastSave="50" documentId="8_{A130095D-A5BB-4AB1-ABF4-F9AE60FC36E6}" xr6:coauthVersionLast="47" xr6:coauthVersionMax="47" xr10:uidLastSave="{6DFD22BA-9D31-4A4A-BDAC-AE4E25DEEFCF}"/>
  <bookViews>
    <workbookView xWindow="-120" yWindow="-120" windowWidth="29040" windowHeight="15720" tabRatio="756" firstSheet="1" activeTab="6" xr2:uid="{4DEE9F2C-744A-4F6D-9D3B-5E651EAA2116}"/>
  </bookViews>
  <sheets>
    <sheet name="Guide utilisateur" sheetId="18" r:id="rId1"/>
    <sheet name="Introduction" sheetId="17" r:id="rId2"/>
    <sheet name="Aide aux risques" sheetId="20" r:id="rId3"/>
    <sheet name="Risques et Actions" sheetId="19" r:id="rId4"/>
    <sheet name="Dashboards" sheetId="21" r:id="rId5"/>
    <sheet name="Facteurs de notation (AMDEC)" sheetId="23" r:id="rId6"/>
    <sheet name="AMDEC" sheetId="22" r:id="rId7"/>
    <sheet name="AMDEC Rapport" sheetId="24" r:id="rId8"/>
    <sheet name="Produit" sheetId="8" state="hidden" r:id="rId9"/>
    <sheet name="Produit rapport" sheetId="9" state="hidden" r:id="rId10"/>
  </sheets>
  <externalReferences>
    <externalReference r:id="rId11"/>
    <externalReference r:id="rId12"/>
  </externalReferences>
  <definedNames>
    <definedName name="Catégories">'Aide aux risques'!$B$43:$B$48</definedName>
    <definedName name="Introduction" localSheetId="2">[1]!ok</definedName>
    <definedName name="Introduction" localSheetId="6">[1]!ok</definedName>
    <definedName name="Introduction" localSheetId="7">[1]!ok</definedName>
    <definedName name="Introduction" localSheetId="4">[1]!ok</definedName>
    <definedName name="Introduction" localSheetId="5">[1]!ok</definedName>
    <definedName name="Introduction" localSheetId="0">[1]!ok</definedName>
    <definedName name="Introduction" localSheetId="3">[1]!ok</definedName>
    <definedName name="Introduction">[1]!ok</definedName>
    <definedName name="mois">#REF!</definedName>
    <definedName name="Niveaux">#REF!</definedName>
    <definedName name="ok" localSheetId="2">[1]!ok</definedName>
    <definedName name="ok" localSheetId="6">[1]!ok</definedName>
    <definedName name="ok" localSheetId="7">[1]!ok</definedName>
    <definedName name="ok" localSheetId="4">[1]!ok</definedName>
    <definedName name="ok" localSheetId="5">[1]!ok</definedName>
    <definedName name="ok" localSheetId="0">[1]!ok</definedName>
    <definedName name="ok" localSheetId="1">[1]!ok</definedName>
    <definedName name="ok" localSheetId="3">[1]!ok</definedName>
    <definedName name="ok">[1]!ok</definedName>
    <definedName name="Sources">#REF!</definedName>
    <definedName name="travel">'[2]Suivi Travel'!$U$7</definedName>
    <definedName name="_xlnm.Print_Area" localSheetId="6">AMDEC!$A$1:$AE$38</definedName>
    <definedName name="_xlnm.Print_Area" localSheetId="4">Dashboards!$A$1:$I$67</definedName>
    <definedName name="_xlnm.Print_Area" localSheetId="9">'Produit rapport'!$D$1:$N$32</definedName>
    <definedName name="_xlnm.Print_Area" localSheetId="3">'Risques et Actions'!$A$1:$R$45</definedName>
  </definedNames>
  <calcPr calcId="191029"/>
  <pivotCaches>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19" l="1"/>
  <c r="K12" i="19"/>
  <c r="K13" i="19"/>
  <c r="K14" i="19"/>
  <c r="K15" i="19"/>
  <c r="K10" i="19"/>
  <c r="B4" i="24"/>
  <c r="AB38" i="22"/>
  <c r="AA38" i="22"/>
  <c r="V38" i="22"/>
  <c r="U38" i="22"/>
  <c r="N38" i="22"/>
  <c r="AD38" i="22" s="1"/>
  <c r="M38" i="22"/>
  <c r="AB37" i="22"/>
  <c r="AA37" i="22"/>
  <c r="V37" i="22"/>
  <c r="U37" i="22"/>
  <c r="N37" i="22"/>
  <c r="AD37" i="22" s="1"/>
  <c r="M37" i="22"/>
  <c r="AB36" i="22"/>
  <c r="AA36" i="22"/>
  <c r="V36" i="22"/>
  <c r="U36" i="22"/>
  <c r="N36" i="22"/>
  <c r="AD36" i="22" s="1"/>
  <c r="M36" i="22"/>
  <c r="AB35" i="22"/>
  <c r="AA35" i="22"/>
  <c r="V35" i="22"/>
  <c r="U35" i="22"/>
  <c r="N35" i="22"/>
  <c r="AD35" i="22" s="1"/>
  <c r="M35" i="22"/>
  <c r="AB34" i="22"/>
  <c r="AA34" i="22"/>
  <c r="V34" i="22"/>
  <c r="U34" i="22"/>
  <c r="N34" i="22"/>
  <c r="AD34" i="22" s="1"/>
  <c r="M34" i="22"/>
  <c r="AB33" i="22"/>
  <c r="AA33" i="22"/>
  <c r="V33" i="22"/>
  <c r="U33" i="22"/>
  <c r="N33" i="22"/>
  <c r="AD33" i="22" s="1"/>
  <c r="M33" i="22"/>
  <c r="AB32" i="22"/>
  <c r="AA32" i="22"/>
  <c r="V32" i="22"/>
  <c r="U32" i="22"/>
  <c r="N32" i="22"/>
  <c r="AD32" i="22" s="1"/>
  <c r="M32" i="22"/>
  <c r="AB31" i="22"/>
  <c r="AA31" i="22"/>
  <c r="V31" i="22"/>
  <c r="U31" i="22"/>
  <c r="N31" i="22"/>
  <c r="AD31" i="22" s="1"/>
  <c r="M31" i="22"/>
  <c r="AB30" i="22"/>
  <c r="AA30" i="22"/>
  <c r="V30" i="22"/>
  <c r="U30" i="22"/>
  <c r="N30" i="22"/>
  <c r="AD30" i="22" s="1"/>
  <c r="M30" i="22"/>
  <c r="AB29" i="22"/>
  <c r="AA29" i="22"/>
  <c r="V29" i="22"/>
  <c r="U29" i="22"/>
  <c r="N29" i="22"/>
  <c r="AD29" i="22" s="1"/>
  <c r="M29" i="22"/>
  <c r="AB28" i="22"/>
  <c r="AA28" i="22"/>
  <c r="V28" i="22"/>
  <c r="U28" i="22"/>
  <c r="N28" i="22"/>
  <c r="AD28" i="22" s="1"/>
  <c r="M28" i="22"/>
  <c r="AB27" i="22"/>
  <c r="AA27" i="22"/>
  <c r="V27" i="22"/>
  <c r="U27" i="22"/>
  <c r="N27" i="22"/>
  <c r="AD27" i="22" s="1"/>
  <c r="M27" i="22"/>
  <c r="AB26" i="22"/>
  <c r="AA26" i="22"/>
  <c r="V26" i="22"/>
  <c r="U26" i="22"/>
  <c r="N26" i="22"/>
  <c r="AD26" i="22" s="1"/>
  <c r="M26" i="22"/>
  <c r="AB25" i="22"/>
  <c r="AA25" i="22"/>
  <c r="V25" i="22"/>
  <c r="U25" i="22"/>
  <c r="N25" i="22"/>
  <c r="AD25" i="22" s="1"/>
  <c r="M25" i="22"/>
  <c r="AB24" i="22"/>
  <c r="AA24" i="22"/>
  <c r="V24" i="22"/>
  <c r="U24" i="22"/>
  <c r="N24" i="22"/>
  <c r="AD24" i="22" s="1"/>
  <c r="M24" i="22"/>
  <c r="AB23" i="22"/>
  <c r="AA23" i="22"/>
  <c r="V23" i="22"/>
  <c r="U23" i="22"/>
  <c r="N23" i="22"/>
  <c r="AD23" i="22" s="1"/>
  <c r="M23" i="22"/>
  <c r="AB22" i="22"/>
  <c r="AA22" i="22"/>
  <c r="V22" i="22"/>
  <c r="U22" i="22"/>
  <c r="N22" i="22"/>
  <c r="AD22" i="22" s="1"/>
  <c r="M22" i="22"/>
  <c r="AB21" i="22"/>
  <c r="AA21" i="22"/>
  <c r="V21" i="22"/>
  <c r="U21" i="22"/>
  <c r="N21" i="22"/>
  <c r="AD21" i="22" s="1"/>
  <c r="M21" i="22"/>
  <c r="AB20" i="22"/>
  <c r="AA20" i="22"/>
  <c r="V20" i="22"/>
  <c r="U20" i="22"/>
  <c r="N20" i="22"/>
  <c r="AD20" i="22" s="1"/>
  <c r="M20" i="22"/>
  <c r="AB19" i="22"/>
  <c r="AA19" i="22"/>
  <c r="V19" i="22"/>
  <c r="U19" i="22"/>
  <c r="N19" i="22"/>
  <c r="AD19" i="22" s="1"/>
  <c r="M19" i="22"/>
  <c r="AB18" i="22"/>
  <c r="AA18" i="22"/>
  <c r="V18" i="22"/>
  <c r="U18" i="22"/>
  <c r="N18" i="22"/>
  <c r="AD18" i="22" s="1"/>
  <c r="M18" i="22"/>
  <c r="AB17" i="22"/>
  <c r="AA17" i="22"/>
  <c r="V17" i="22"/>
  <c r="U17" i="22"/>
  <c r="N17" i="22"/>
  <c r="AD17" i="22" s="1"/>
  <c r="M17" i="22"/>
  <c r="AB16" i="22"/>
  <c r="AA16" i="22"/>
  <c r="V16" i="22"/>
  <c r="U16" i="22"/>
  <c r="N16" i="22"/>
  <c r="AD16" i="22" s="1"/>
  <c r="M16" i="22"/>
  <c r="AB15" i="22"/>
  <c r="AA15" i="22"/>
  <c r="V15" i="22"/>
  <c r="U15" i="22"/>
  <c r="N15" i="22"/>
  <c r="AD15" i="22" s="1"/>
  <c r="M15" i="22"/>
  <c r="AB14" i="22"/>
  <c r="AA14" i="22"/>
  <c r="V14" i="22"/>
  <c r="U14" i="22"/>
  <c r="N14" i="22"/>
  <c r="AD14" i="22" s="1"/>
  <c r="M14" i="22"/>
  <c r="AB13" i="22"/>
  <c r="AA13" i="22"/>
  <c r="V13" i="22"/>
  <c r="U13" i="22"/>
  <c r="N13" i="22"/>
  <c r="AD13" i="22" s="1"/>
  <c r="M13" i="22"/>
  <c r="AB12" i="22"/>
  <c r="AA12" i="22"/>
  <c r="V12" i="22"/>
  <c r="U12" i="22"/>
  <c r="N12" i="22"/>
  <c r="AD12" i="22" s="1"/>
  <c r="M12" i="22"/>
  <c r="AB11" i="22"/>
  <c r="AC11" i="22" s="1"/>
  <c r="AA11" i="22"/>
  <c r="V11" i="22"/>
  <c r="U11" i="22"/>
  <c r="N11" i="22"/>
  <c r="AD11" i="22" s="1"/>
  <c r="M11" i="22"/>
  <c r="Z5" i="22"/>
  <c r="F115" i="18" s="1"/>
  <c r="Z4" i="22"/>
  <c r="F114" i="18" s="1"/>
  <c r="Z2" i="22"/>
  <c r="F113" i="18" s="1"/>
  <c r="Z1" i="22"/>
  <c r="F112" i="18" s="1"/>
  <c r="B48" i="20"/>
  <c r="B47" i="20"/>
  <c r="B46" i="20"/>
  <c r="B45" i="20"/>
  <c r="B44" i="20"/>
  <c r="B43" i="20"/>
  <c r="B8" i="24" l="1"/>
  <c r="B7" i="24"/>
  <c r="B6" i="24"/>
  <c r="B5" i="24"/>
  <c r="AC25" i="22"/>
  <c r="AC23" i="22"/>
  <c r="AC27" i="22"/>
  <c r="AC31" i="22"/>
  <c r="AC35" i="22"/>
  <c r="AC29" i="22"/>
  <c r="AC12" i="22"/>
  <c r="AC14" i="22"/>
  <c r="AC37" i="22"/>
  <c r="AC24" i="22"/>
  <c r="AC32" i="22"/>
  <c r="AC18" i="22"/>
  <c r="AC15" i="22"/>
  <c r="AC21" i="22"/>
  <c r="AC33" i="22"/>
  <c r="AC20" i="22"/>
  <c r="AC22" i="22"/>
  <c r="AC26" i="22"/>
  <c r="AC28" i="22"/>
  <c r="AC17" i="22"/>
  <c r="AC16" i="22"/>
  <c r="AC13" i="22"/>
  <c r="AC34" i="22"/>
  <c r="AC19" i="22"/>
  <c r="AC30" i="22"/>
  <c r="AC36" i="22"/>
  <c r="AC38" i="22"/>
  <c r="B3" i="9"/>
  <c r="AB42" i="8"/>
  <c r="AA42" i="8"/>
  <c r="V42" i="8"/>
  <c r="U42" i="8"/>
  <c r="N42" i="8"/>
  <c r="AD42" i="8" s="1"/>
  <c r="M42" i="8"/>
  <c r="AB41" i="8"/>
  <c r="AA41" i="8"/>
  <c r="V41" i="8"/>
  <c r="U41" i="8"/>
  <c r="N41" i="8"/>
  <c r="AD41" i="8" s="1"/>
  <c r="M41" i="8"/>
  <c r="AB40" i="8"/>
  <c r="AA40" i="8"/>
  <c r="V40" i="8"/>
  <c r="U40" i="8"/>
  <c r="N40" i="8"/>
  <c r="AD40" i="8" s="1"/>
  <c r="M40" i="8"/>
  <c r="AB39" i="8"/>
  <c r="AA39" i="8"/>
  <c r="V39" i="8"/>
  <c r="U39" i="8"/>
  <c r="N39" i="8"/>
  <c r="AD39" i="8" s="1"/>
  <c r="M39" i="8"/>
  <c r="AB38" i="8"/>
  <c r="AA38" i="8"/>
  <c r="V38" i="8"/>
  <c r="U38" i="8"/>
  <c r="N38" i="8"/>
  <c r="AD38" i="8" s="1"/>
  <c r="M38" i="8"/>
  <c r="AB37" i="8"/>
  <c r="AA37" i="8"/>
  <c r="V37" i="8"/>
  <c r="U37" i="8"/>
  <c r="N37" i="8"/>
  <c r="AD37" i="8" s="1"/>
  <c r="M37" i="8"/>
  <c r="AB36" i="8"/>
  <c r="AA36" i="8"/>
  <c r="V36" i="8"/>
  <c r="U36" i="8"/>
  <c r="N36" i="8"/>
  <c r="AD36" i="8" s="1"/>
  <c r="M36" i="8"/>
  <c r="AB35" i="8"/>
  <c r="AA35" i="8"/>
  <c r="V35" i="8"/>
  <c r="U35" i="8"/>
  <c r="N35" i="8"/>
  <c r="AD35" i="8" s="1"/>
  <c r="M35" i="8"/>
  <c r="AB34" i="8"/>
  <c r="AA34" i="8"/>
  <c r="V34" i="8"/>
  <c r="U34" i="8"/>
  <c r="N34" i="8"/>
  <c r="AD34" i="8" s="1"/>
  <c r="M34" i="8"/>
  <c r="AB33" i="8"/>
  <c r="AA33" i="8"/>
  <c r="V33" i="8"/>
  <c r="U33" i="8"/>
  <c r="N33" i="8"/>
  <c r="AD33" i="8" s="1"/>
  <c r="M33" i="8"/>
  <c r="AB32" i="8"/>
  <c r="AA32" i="8"/>
  <c r="V32" i="8"/>
  <c r="U32" i="8"/>
  <c r="N32" i="8"/>
  <c r="AD32" i="8" s="1"/>
  <c r="M32" i="8"/>
  <c r="AB31" i="8"/>
  <c r="AA31" i="8"/>
  <c r="V31" i="8"/>
  <c r="U31" i="8"/>
  <c r="N31" i="8"/>
  <c r="AD31" i="8" s="1"/>
  <c r="M31" i="8"/>
  <c r="AB30" i="8"/>
  <c r="AA30" i="8"/>
  <c r="V30" i="8"/>
  <c r="U30" i="8"/>
  <c r="N30" i="8"/>
  <c r="AD30" i="8" s="1"/>
  <c r="M30" i="8"/>
  <c r="AB29" i="8"/>
  <c r="AA29" i="8"/>
  <c r="V29" i="8"/>
  <c r="U29" i="8"/>
  <c r="N29" i="8"/>
  <c r="AD29" i="8" s="1"/>
  <c r="M29" i="8"/>
  <c r="AB28" i="8"/>
  <c r="AA28" i="8"/>
  <c r="V28" i="8"/>
  <c r="U28" i="8"/>
  <c r="N28" i="8"/>
  <c r="AD28" i="8" s="1"/>
  <c r="M28" i="8"/>
  <c r="AB27" i="8"/>
  <c r="AA27" i="8"/>
  <c r="V27" i="8"/>
  <c r="U27" i="8"/>
  <c r="N27" i="8"/>
  <c r="AD27" i="8" s="1"/>
  <c r="M27" i="8"/>
  <c r="AB26" i="8"/>
  <c r="AA26" i="8"/>
  <c r="V26" i="8"/>
  <c r="U26" i="8"/>
  <c r="N26" i="8"/>
  <c r="AD26" i="8" s="1"/>
  <c r="M26" i="8"/>
  <c r="AB25" i="8"/>
  <c r="AA25" i="8"/>
  <c r="V25" i="8"/>
  <c r="U25" i="8"/>
  <c r="N25" i="8"/>
  <c r="AD25" i="8" s="1"/>
  <c r="M25" i="8"/>
  <c r="AB24" i="8"/>
  <c r="AA24" i="8"/>
  <c r="V24" i="8"/>
  <c r="U24" i="8"/>
  <c r="N24" i="8"/>
  <c r="AD24" i="8" s="1"/>
  <c r="M24" i="8"/>
  <c r="AB23" i="8"/>
  <c r="AA23" i="8"/>
  <c r="V23" i="8"/>
  <c r="U23" i="8"/>
  <c r="N23" i="8"/>
  <c r="AD23" i="8" s="1"/>
  <c r="M23" i="8"/>
  <c r="AB22" i="8"/>
  <c r="AA22" i="8"/>
  <c r="V22" i="8"/>
  <c r="U22" i="8"/>
  <c r="N22" i="8"/>
  <c r="AD22" i="8" s="1"/>
  <c r="M22" i="8"/>
  <c r="AB21" i="8"/>
  <c r="AA21" i="8"/>
  <c r="V21" i="8"/>
  <c r="U21" i="8"/>
  <c r="N21" i="8"/>
  <c r="AD21" i="8" s="1"/>
  <c r="M21" i="8"/>
  <c r="AB20" i="8"/>
  <c r="AA20" i="8"/>
  <c r="V20" i="8"/>
  <c r="U20" i="8"/>
  <c r="N20" i="8"/>
  <c r="AD20" i="8" s="1"/>
  <c r="M20" i="8"/>
  <c r="AB19" i="8"/>
  <c r="AC19" i="8" s="1"/>
  <c r="AA19" i="8"/>
  <c r="V19" i="8"/>
  <c r="U19" i="8"/>
  <c r="N19" i="8"/>
  <c r="AD19" i="8" s="1"/>
  <c r="M19" i="8"/>
  <c r="AB18" i="8"/>
  <c r="AC18" i="8" s="1"/>
  <c r="AA18" i="8"/>
  <c r="V18" i="8"/>
  <c r="U18" i="8"/>
  <c r="N18" i="8"/>
  <c r="AD18" i="8" s="1"/>
  <c r="M18" i="8"/>
  <c r="AB17" i="8"/>
  <c r="AC17" i="8" s="1"/>
  <c r="AA17" i="8"/>
  <c r="V17" i="8"/>
  <c r="U17" i="8"/>
  <c r="N17" i="8"/>
  <c r="AD17" i="8" s="1"/>
  <c r="M17" i="8"/>
  <c r="AB16" i="8"/>
  <c r="AC16" i="8" s="1"/>
  <c r="AA16" i="8"/>
  <c r="V16" i="8"/>
  <c r="U16" i="8"/>
  <c r="N16" i="8"/>
  <c r="AD16" i="8" s="1"/>
  <c r="M16" i="8"/>
  <c r="Z5" i="8"/>
  <c r="T5" i="8"/>
  <c r="Z4" i="8"/>
  <c r="T4" i="8"/>
  <c r="Z3" i="8"/>
  <c r="T3" i="8"/>
  <c r="Z2" i="8"/>
  <c r="T2" i="8"/>
  <c r="AC21" i="8" l="1"/>
  <c r="AC23" i="8"/>
  <c r="AC33" i="8"/>
  <c r="AC37" i="8"/>
  <c r="AC39" i="8"/>
  <c r="AC41" i="8"/>
  <c r="AC20" i="8"/>
  <c r="AC22" i="8"/>
  <c r="AC24" i="8"/>
  <c r="AC26" i="8"/>
  <c r="AC28" i="8"/>
  <c r="AC30" i="8"/>
  <c r="AC32" i="8"/>
  <c r="AC34" i="8"/>
  <c r="AC36" i="8"/>
  <c r="AC38" i="8"/>
  <c r="AC40" i="8"/>
  <c r="AC42" i="8"/>
  <c r="AC25" i="8"/>
  <c r="AC27" i="8"/>
  <c r="AC29" i="8"/>
  <c r="AC31" i="8"/>
  <c r="AC35" i="8"/>
  <c r="B5" i="9" l="1"/>
  <c r="B6" i="9"/>
  <c r="B7" i="9"/>
  <c r="B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Fatima DARAZIRAR</author>
  </authors>
  <commentList>
    <comment ref="M9" authorId="0" shapeId="0" xr:uid="{597D3E29-2BD8-40AC-8278-8C23F7B6799B}">
      <text>
        <r>
          <rPr>
            <b/>
            <sz val="9"/>
            <color indexed="81"/>
            <rFont val="Tahoma"/>
            <family val="2"/>
          </rPr>
          <t xml:space="preserve">Quadrigramme - XXXX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Joël BOËNNEC</author>
  </authors>
  <commentList>
    <comment ref="B4" authorId="0" shapeId="0" xr:uid="{54739171-5888-4A20-BD43-7654CC71A9A0}">
      <text>
        <r>
          <rPr>
            <b/>
            <sz val="8"/>
            <color indexed="81"/>
            <rFont val="Tahoma"/>
            <family val="2"/>
          </rPr>
          <t>For record a status, copy this cells and paste values (special paste) in the Risk 
Follow-up table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Joël BOËNNEC</author>
  </authors>
  <commentList>
    <comment ref="B3" authorId="0" shapeId="0" xr:uid="{7B30DB77-BE9B-47AA-9B90-CF1EA2E3960F}">
      <text>
        <r>
          <rPr>
            <b/>
            <sz val="8"/>
            <color indexed="81"/>
            <rFont val="Tahoma"/>
            <family val="2"/>
          </rPr>
          <t>For record a status, copy this cells and paste values (special paste) in the Risk 
Follow-up table</t>
        </r>
      </text>
    </comment>
  </commentList>
</comments>
</file>

<file path=xl/sharedStrings.xml><?xml version="1.0" encoding="utf-8"?>
<sst xmlns="http://schemas.openxmlformats.org/spreadsheetml/2006/main" count="723" uniqueCount="512">
  <si>
    <t>GUIDE</t>
  </si>
  <si>
    <t>Objectif</t>
  </si>
  <si>
    <r>
      <t xml:space="preserve">Ce guide vise à facilier l'utilisation et prise en main de </t>
    </r>
    <r>
      <rPr>
        <b/>
        <u/>
        <sz val="9"/>
        <rFont val="Lato"/>
        <family val="2"/>
      </rPr>
      <t>2 outils</t>
    </r>
    <r>
      <rPr>
        <sz val="9"/>
        <rFont val="Lato"/>
        <family val="2"/>
      </rPr>
      <t xml:space="preserve"> de pilotage des risques contenus dans ce fichier : </t>
    </r>
  </si>
  <si>
    <t>1. "Pilotage risques et actions"</t>
  </si>
  <si>
    <t>2. "AMDEC"</t>
  </si>
  <si>
    <t>A qui s'adresse t-il ?</t>
  </si>
  <si>
    <r>
      <t xml:space="preserve">Cet outil est destiné à l'ensemble des pôles métier FMS : </t>
    </r>
    <r>
      <rPr>
        <sz val="9"/>
        <color theme="1"/>
        <rFont val="Lato Black"/>
        <family val="2"/>
      </rPr>
      <t>My Log, My System; MVP, FMS ID, My Work, Service(s) Support (Transverses)</t>
    </r>
  </si>
  <si>
    <t>Il s'adresse aux managers opérationnels, de direction et/ou de services support (transverse) en charge de piloter les risques d'un projet/processus.</t>
  </si>
  <si>
    <t>Introduction</t>
  </si>
  <si>
    <t>Ce préambule décrit, en 5 étapes, la méthodologie de gestion des risques. Vous y trouverez la définition de termes à connaître avant d'appréhender les outils du fichier.</t>
  </si>
  <si>
    <t>Aide aux risques</t>
  </si>
  <si>
    <t>Informations à utiliser pour compléter les colonnes "catégorie" et "description du risque" de l'outil "Risques et Actions"</t>
  </si>
  <si>
    <t>Il contient une liste d'exemples (non exhaustive) de risques classés en 6 catégories.</t>
  </si>
  <si>
    <t>Risques et actions</t>
  </si>
  <si>
    <t>L'implémentation de cet outil se fait en 3 étapes :</t>
  </si>
  <si>
    <t>1. Identifier le risque</t>
  </si>
  <si>
    <t xml:space="preserve">2. Evaluer le risque </t>
  </si>
  <si>
    <t>3. Construire le plan d'action</t>
  </si>
  <si>
    <t>Comment évaluer un risque ?</t>
  </si>
  <si>
    <r>
      <t>Une fois le risque identifié, une évaluation de sa criticité est nécessaire. Elle est réalisée via 2 paramètres, la</t>
    </r>
    <r>
      <rPr>
        <b/>
        <sz val="9"/>
        <rFont val="Lato"/>
        <family val="2"/>
      </rPr>
      <t xml:space="preserve"> probabilité/occurence </t>
    </r>
    <r>
      <rPr>
        <sz val="9"/>
        <rFont val="Lato"/>
        <family val="2"/>
      </rPr>
      <t xml:space="preserve">et la </t>
    </r>
    <r>
      <rPr>
        <b/>
        <sz val="9"/>
        <rFont val="Lato"/>
        <family val="2"/>
      </rPr>
      <t>gravité.</t>
    </r>
  </si>
  <si>
    <t>Matrice / grille de cotation</t>
  </si>
  <si>
    <t>Gravité</t>
  </si>
  <si>
    <t>Très Haute</t>
  </si>
  <si>
    <t>Moyen</t>
  </si>
  <si>
    <t>Fort</t>
  </si>
  <si>
    <t>Très fort</t>
  </si>
  <si>
    <t>Haute</t>
  </si>
  <si>
    <t>Faible</t>
  </si>
  <si>
    <t xml:space="preserve">  seuil de déclenchement d'action</t>
  </si>
  <si>
    <t>Probabilité*</t>
  </si>
  <si>
    <t>Action non requise</t>
  </si>
  <si>
    <t>Action requise</t>
  </si>
  <si>
    <t>Echelle de probabilité / Occurrence</t>
  </si>
  <si>
    <t>Isolé - peu probable - moins d'1 fois par an ou 1 fois toutes les 10 000 pièces produites</t>
  </si>
  <si>
    <t>Peu fréquent - 1 à 4 fois par an ou 1 fois toutes les 3000 pièces produites</t>
  </si>
  <si>
    <t>Dysfonctionnement fréquent - 1 à 3 fois par mois ou 1 fois toutes les 500 pièces produites</t>
  </si>
  <si>
    <t>Dysfonctionnement répété - entre 1 fois par semaine et tous les jours ou 1 fois entre 1-50 pièces</t>
  </si>
  <si>
    <t>Echelle de Gravité</t>
  </si>
  <si>
    <t>Non détectable par le client et incidence faible - Perte mineure sur le service.</t>
  </si>
  <si>
    <t xml:space="preserve">Détectable par le client et incidence induisant une perte de service. Il existe une solution de contournement afin de restaurer le service. </t>
  </si>
  <si>
    <t xml:space="preserve">Détectable par le client et incidence induisant une perte importante de service. Pas de solution de contournement. Requiert une action afin de restaurer le service. </t>
  </si>
  <si>
    <t xml:space="preserve">Détectable par le client et incidence majeure. Probabilité de perte du client. Requiert une action afin de restaurer le service. </t>
  </si>
  <si>
    <t>Comment mesurer l'efficacité d'une action ?</t>
  </si>
  <si>
    <t xml:space="preserve">La mesure de l'efficacité d'une action consiste à vérifier qu'elle a atteint son objectif. </t>
  </si>
  <si>
    <t xml:space="preserve">Il y a des catégories de risques sur lesquels ont ne peut agir sur les causes. En revanche, il est possible de s’assurer que les actions engagées pour en réduire l'impact sont effectives. </t>
  </si>
  <si>
    <t>Le critère d'efficacité est la non réapparition du dysfonctionnement/défaillance rencontré.</t>
  </si>
  <si>
    <t>Ex : l'action d'isoler phoniquement des murs du bureau a été à 90% efficace ==&gt; elle a réduit considérablement l'impact du risque de dégradation des conditions de travail (nuisances sonores)</t>
  </si>
  <si>
    <t>Spécifités My System</t>
  </si>
  <si>
    <t xml:space="preserve">L'onglet "Pilotage risques et actions" intègre des règles de gestion spécifiques au périmètre My System. Ces renseignements sont destinés à faciliter la remontée et le partage des risques à tous les acteurs du pôle. </t>
  </si>
  <si>
    <t>Ci-dessous la procédure à suivre vous permettant de renseigner les informations complémentaires.</t>
  </si>
  <si>
    <t>Pour chaque risque veuillez compléter les informations suivantes :</t>
  </si>
  <si>
    <t>1. Visibilité ROP (Revue Opérationnelle de Pôle)</t>
  </si>
  <si>
    <t>Certains risques "majeurs" (criticité élevée, impact salariés fort ou très fort, enjeux stratégiques forts…) nécessitent d'être remontés au N+1 pour être revus en ROP tous les mois</t>
  </si>
  <si>
    <t>Les actions à mettre en place seront identifiées durant ou à l'issue de ces revues</t>
  </si>
  <si>
    <t>2. Nombre de salariés impactés</t>
  </si>
  <si>
    <t>Ce critère devra être pris en compte dans l'évaluation permet d'évaluer l'impact du risque en nombre de salariés.</t>
  </si>
  <si>
    <t>Dashboards</t>
  </si>
  <si>
    <t xml:space="preserve">Ce tableau de bord est une synthèse visuelle des données contenues dans l'onglet "Risques et Actions" </t>
  </si>
  <si>
    <t>Facteurs de notation (AMDEC)</t>
  </si>
  <si>
    <t>Cet onglet vous permet d'évaluer les risques suivant les critères de gravité, d'occurrence et de détectabilité.</t>
  </si>
  <si>
    <t>AMDEC (FMEA)</t>
  </si>
  <si>
    <t>A utiliser si demandée par le client</t>
  </si>
  <si>
    <t>AMDEC : Analyse des Modes de Défaillance, de leurs Effets, et de leur Criticité ou FMEA : Failure mode and effects analysis</t>
  </si>
  <si>
    <t xml:space="preserve">L'AMDEC est une méthode d'analyse systématique des modes de défaillance potentiels visant à prévenir les défaillances. </t>
  </si>
  <si>
    <t>Il s'agit d'un processus d'action préventive mené avant la mise en œuvre de nouveaux projets ou de modifications de produits ou de processus.</t>
  </si>
  <si>
    <t>Idéalement, les AMDEC sont menées au stade de la mise en place d'un projet ou du développement de processus, bien que leur réalisation sur des projets et des processus existants puisse également apporter des avantages.</t>
  </si>
  <si>
    <t>Pour un sujet défini, toutes les défaillances/risques possibles doivent être identifiés.</t>
  </si>
  <si>
    <t>Pour chaque mode de défaillance, nous devons évaluer de 1 à 10 :</t>
  </si>
  <si>
    <r>
      <t xml:space="preserve">- </t>
    </r>
    <r>
      <rPr>
        <b/>
        <sz val="9"/>
        <rFont val="Lato"/>
        <family val="2"/>
      </rPr>
      <t>Sévérité/Gravité</t>
    </r>
    <r>
      <rPr>
        <sz val="9"/>
        <rFont val="Lato"/>
        <family val="2"/>
      </rPr>
      <t xml:space="preserve"> : Effet potentiel sur le sujet, impact</t>
    </r>
  </si>
  <si>
    <r>
      <t xml:space="preserve">- </t>
    </r>
    <r>
      <rPr>
        <b/>
        <sz val="9"/>
        <rFont val="Lato"/>
        <family val="2"/>
      </rPr>
      <t>Occurrence</t>
    </r>
    <r>
      <rPr>
        <sz val="9"/>
        <rFont val="Lato"/>
        <family val="2"/>
      </rPr>
      <t xml:space="preserve"> : Cause potentielle de la panne et fréquence d'occurrence/ d'apparition ?</t>
    </r>
  </si>
  <si>
    <r>
      <t xml:space="preserve">- </t>
    </r>
    <r>
      <rPr>
        <b/>
        <sz val="9"/>
        <rFont val="Lato"/>
        <family val="2"/>
      </rPr>
      <t>Détectabilité</t>
    </r>
    <r>
      <rPr>
        <sz val="9"/>
        <rFont val="Lato"/>
        <family val="2"/>
      </rPr>
      <t xml:space="preserve"> : Comment la panne est-elle détectée ?</t>
    </r>
  </si>
  <si>
    <t>Evaluation</t>
  </si>
  <si>
    <t>Le RPN (Risk Priority Number) définit le niveau de risque de la panne. Le RPN est une combinaison de la Criticité (Sévérité x Occurrence) et de la Détectabilité.</t>
  </si>
  <si>
    <t>RPN = S x O x D</t>
  </si>
  <si>
    <t>Au moins pour les risques de haut niveau, des actions doivent être définies et suivies.</t>
  </si>
  <si>
    <t>RPN Colours</t>
  </si>
  <si>
    <t>FAIBLE</t>
  </si>
  <si>
    <t>MEDIUM</t>
  </si>
  <si>
    <t>HAUT</t>
  </si>
  <si>
    <t>TRES HAUT</t>
  </si>
  <si>
    <t>AMDEC Rapport</t>
  </si>
  <si>
    <t>INTRODUCTION</t>
  </si>
  <si>
    <t>La gestion des risques</t>
  </si>
  <si>
    <t>Un risque est un danger éventuel plus ou moins prévisible. Tous les risques ne sont pas prévisibles.</t>
  </si>
  <si>
    <t>Le pilotage des risques passe par un questionnement régulier et une analyse des risques à intégrer aux réunions de suivi hebdomadaire des activités de votre projet/processus.</t>
  </si>
  <si>
    <t>Méthodologie en 5 étapes</t>
  </si>
  <si>
    <r>
      <rPr>
        <u/>
        <sz val="9"/>
        <color theme="1"/>
        <rFont val="Lato"/>
        <family val="2"/>
      </rPr>
      <t>Etape 1 :</t>
    </r>
    <r>
      <rPr>
        <sz val="9"/>
        <color theme="1"/>
        <rFont val="Lato"/>
        <family val="2"/>
      </rPr>
      <t xml:space="preserve"> Identifier les risques</t>
    </r>
  </si>
  <si>
    <r>
      <rPr>
        <u/>
        <sz val="9"/>
        <color theme="1"/>
        <rFont val="Lato"/>
        <family val="2"/>
      </rPr>
      <t>Etape 2 :</t>
    </r>
    <r>
      <rPr>
        <sz val="9"/>
        <color theme="1"/>
        <rFont val="Lato"/>
        <family val="2"/>
      </rPr>
      <t xml:space="preserve"> Analyser et évaluer les risques</t>
    </r>
  </si>
  <si>
    <t>La criticité est :</t>
  </si>
  <si>
    <t>-une aide à la hiérarchisation des risque</t>
  </si>
  <si>
    <t>-une aide pour décider des actions prioritaires</t>
  </si>
  <si>
    <t xml:space="preserve">La définition de seuils  conditionne la mise en place d’actions: </t>
  </si>
  <si>
    <t>Tout ce qui est au-dessus du seuil nécessite la mise en place d’actions</t>
  </si>
  <si>
    <t>Attention :</t>
  </si>
  <si>
    <r>
      <rPr>
        <u/>
        <sz val="9"/>
        <color theme="1"/>
        <rFont val="Lato"/>
        <family val="2"/>
      </rPr>
      <t>Etape 3 :</t>
    </r>
    <r>
      <rPr>
        <sz val="9"/>
        <color theme="1"/>
        <rFont val="Lato"/>
        <family val="2"/>
      </rPr>
      <t xml:space="preserve"> Définir un plan d'action ou de traitement ;</t>
    </r>
  </si>
  <si>
    <r>
      <rPr>
        <u/>
        <sz val="9"/>
        <color theme="1"/>
        <rFont val="Lato"/>
        <family val="2"/>
      </rPr>
      <t>Etape 4 :</t>
    </r>
    <r>
      <rPr>
        <sz val="9"/>
        <color theme="1"/>
        <rFont val="Lato"/>
        <family val="2"/>
      </rPr>
      <t xml:space="preserve"> Piloter les actions et revenir à la première étape d’identification des risques</t>
    </r>
  </si>
  <si>
    <r>
      <rPr>
        <u/>
        <sz val="9"/>
        <color theme="1"/>
        <rFont val="Lato"/>
        <family val="2"/>
      </rPr>
      <t>Etape 5 :</t>
    </r>
    <r>
      <rPr>
        <sz val="9"/>
        <color theme="1"/>
        <rFont val="Lato"/>
        <family val="2"/>
      </rPr>
      <t xml:space="preserve"> (Spécifique à l'AMDEC) Réévaluer les risques suite aux actions réalisées </t>
    </r>
  </si>
  <si>
    <t>Le suivi des actions et la réévaluation des risques se fait a-minima à chaque réunion de suivi  que ce soit en interne ou avec le client.</t>
  </si>
  <si>
    <r>
      <t xml:space="preserve">Attention </t>
    </r>
    <r>
      <rPr>
        <sz val="9"/>
        <color theme="1"/>
        <rFont val="Lato"/>
        <family val="2"/>
      </rPr>
      <t>:</t>
    </r>
    <r>
      <rPr>
        <sz val="9"/>
        <color rgb="FFFF0000"/>
        <rFont val="Lato"/>
        <family val="2"/>
      </rPr>
      <t xml:space="preserve"> Si le risque augmente et passe au-dessus du seuil défini, des actions doivent être mises en place pour réduire le risque</t>
    </r>
  </si>
  <si>
    <t>Diagramme d'Ishikawa</t>
  </si>
  <si>
    <t xml:space="preserve">Catégories et types de risques </t>
  </si>
  <si>
    <t>Les sources possibles de risques peuvent être trouvées dans les domaines de l'Infrastructure, Commercial, Technique, Personnel ou Qualité telle que détaillée dans les domaines suivants (liste non-exhaustive :</t>
  </si>
  <si>
    <t>Infrastructure</t>
  </si>
  <si>
    <t>Commercial</t>
  </si>
  <si>
    <t>Technique</t>
  </si>
  <si>
    <t>Ressources Humaines</t>
  </si>
  <si>
    <t>Qualité</t>
  </si>
  <si>
    <t>Organisation</t>
  </si>
  <si>
    <t>Système IT</t>
  </si>
  <si>
    <t>Prix</t>
  </si>
  <si>
    <t>Étendue de l'expertise technique en dehors des capacité et périmètre</t>
  </si>
  <si>
    <t>Manque de ressources et de compétences particulières</t>
  </si>
  <si>
    <t>Ajustement avec le scope approuvée</t>
  </si>
  <si>
    <t>Ajustement avec le périmètre approuvé</t>
  </si>
  <si>
    <t>Disponibilité de l'ordinateur</t>
  </si>
  <si>
    <t>Utilisation de fournisseurs désignés par le client</t>
  </si>
  <si>
    <t>Ambiguïté ou manque de compréhension de conditions</t>
  </si>
  <si>
    <t>Besoins de formation</t>
  </si>
  <si>
    <t>Exigences client spéciales</t>
  </si>
  <si>
    <t>Organisation équipe</t>
  </si>
  <si>
    <t>Sauvegarde de données</t>
  </si>
  <si>
    <t>Besoin de nouveaux fournisseurs</t>
  </si>
  <si>
    <t>Données manquantes</t>
  </si>
  <si>
    <t>Problèmes de santé et de sécurité</t>
  </si>
  <si>
    <t>Implications des fournisseurs</t>
  </si>
  <si>
    <t>Organisation activités</t>
  </si>
  <si>
    <t>Sécurité du bâtiment</t>
  </si>
  <si>
    <t>Clauses pénales et responsabilités</t>
  </si>
  <si>
    <t>Nouveau processus et procédures</t>
  </si>
  <si>
    <t>Les problèmes de sécurité</t>
  </si>
  <si>
    <t>Normes de contrôle de configuration à appliquer</t>
  </si>
  <si>
    <t>Charge de travail</t>
  </si>
  <si>
    <t>Reprise après sinistre</t>
  </si>
  <si>
    <t>Attentes de garantie</t>
  </si>
  <si>
    <t>Processus et critères d'acceptation</t>
  </si>
  <si>
    <t>Satisfaction salarié</t>
  </si>
  <si>
    <t>Autorisations et approbations requises</t>
  </si>
  <si>
    <t>Continuité de service</t>
  </si>
  <si>
    <t>Système de messagerie</t>
  </si>
  <si>
    <t>Conditions commerciales exceptionnelles de toute nature</t>
  </si>
  <si>
    <t>Interfaces</t>
  </si>
  <si>
    <t>Turn Over</t>
  </si>
  <si>
    <t>Exigences et spécifications de clients</t>
  </si>
  <si>
    <t>Détection et évacuation incendie</t>
  </si>
  <si>
    <t>Problèmes de taux de change</t>
  </si>
  <si>
    <t>Responsabilité/Délégation d'autorité</t>
  </si>
  <si>
    <t>Plan Qualité en particulier pour les activités non standardisées</t>
  </si>
  <si>
    <t>Meubles, etc...</t>
  </si>
  <si>
    <t>Taille du contrat</t>
  </si>
  <si>
    <t>Niveaux de compétence existants</t>
  </si>
  <si>
    <t>Exigences légales et réglementaires</t>
  </si>
  <si>
    <t>Adéquation des moyens matériels aux besoins de la mission</t>
  </si>
  <si>
    <t>Licence d'exportation</t>
  </si>
  <si>
    <t>Complexité</t>
  </si>
  <si>
    <t>Participation des clients</t>
  </si>
  <si>
    <t>Sécurité du bâtiment/site</t>
  </si>
  <si>
    <t>Propriétés intellectuelles</t>
  </si>
  <si>
    <t>Technologies de l'information et de la communication, etc...</t>
  </si>
  <si>
    <t>Qualité des livrables (OQD)</t>
  </si>
  <si>
    <t>Partenariat /Offshore</t>
  </si>
  <si>
    <t>Délais et jalons (OTD)</t>
  </si>
  <si>
    <t>Support produit demandé</t>
  </si>
  <si>
    <t>Satisfaction client</t>
  </si>
  <si>
    <t>Logiciels et autres équipements requis</t>
  </si>
  <si>
    <t>Implication de groupe, etc…</t>
  </si>
  <si>
    <t>Commande</t>
  </si>
  <si>
    <t>Bon de livraison</t>
  </si>
  <si>
    <t>Conditions commerciales exceptionnelles</t>
  </si>
  <si>
    <t xml:space="preserve">Partenariat </t>
  </si>
  <si>
    <t>Facturation</t>
  </si>
  <si>
    <t>Contractualisation</t>
  </si>
  <si>
    <t>Catégories</t>
  </si>
  <si>
    <t>Pilotage des risques et actions</t>
  </si>
  <si>
    <t xml:space="preserve">Nom du pôle métier/processus : </t>
  </si>
  <si>
    <t>Support transverse</t>
  </si>
  <si>
    <t>Nom du projet  :</t>
  </si>
  <si>
    <t>Identification</t>
  </si>
  <si>
    <t>Risques</t>
  </si>
  <si>
    <t xml:space="preserve">Plan d'action </t>
  </si>
  <si>
    <t>Probabilité</t>
  </si>
  <si>
    <t>Criticité</t>
  </si>
  <si>
    <t>Statut Action</t>
  </si>
  <si>
    <t>MY SYSTEM</t>
  </si>
  <si>
    <t>ID_Risque (R+Chrono)</t>
  </si>
  <si>
    <t>Périmètre</t>
  </si>
  <si>
    <t>Date de création 
du risque</t>
  </si>
  <si>
    <t>Visibilité 
ROP</t>
  </si>
  <si>
    <t>Nbre de salariés impactés</t>
  </si>
  <si>
    <t>Catégorie</t>
  </si>
  <si>
    <t>Description</t>
  </si>
  <si>
    <t>Impact potentiel sur le service</t>
  </si>
  <si>
    <t>Probabilité / Occurrence</t>
  </si>
  <si>
    <t>Actions</t>
  </si>
  <si>
    <t>Responsable 
de l'action</t>
  </si>
  <si>
    <t>Date cible</t>
  </si>
  <si>
    <t>Statut des actions liées au risque</t>
  </si>
  <si>
    <t>Date de clôture</t>
  </si>
  <si>
    <t>Efficacité action (en %)</t>
  </si>
  <si>
    <t>Commentaires</t>
  </si>
  <si>
    <t>Appréciation</t>
  </si>
  <si>
    <t>Note</t>
  </si>
  <si>
    <t>R001</t>
  </si>
  <si>
    <t>Surcharge de travail des développeurs</t>
  </si>
  <si>
    <t>Forte</t>
  </si>
  <si>
    <t>Open</t>
  </si>
  <si>
    <t>R002</t>
  </si>
  <si>
    <t>Moyenne</t>
  </si>
  <si>
    <t>R003</t>
  </si>
  <si>
    <t>R004</t>
  </si>
  <si>
    <t>R005</t>
  </si>
  <si>
    <t>Non applicable</t>
  </si>
  <si>
    <t>A traiter</t>
  </si>
  <si>
    <t xml:space="preserve">En cours </t>
  </si>
  <si>
    <t>Très forte</t>
  </si>
  <si>
    <t>Suspendue</t>
  </si>
  <si>
    <t>Annulée</t>
  </si>
  <si>
    <t>Close</t>
  </si>
  <si>
    <t>Analyse des risques par catégorie/gravité</t>
  </si>
  <si>
    <t xml:space="preserve">Pour actualiser les données : clic droit sur le tableau, puis </t>
  </si>
  <si>
    <t>Étiquettes de colonnes</t>
  </si>
  <si>
    <t>Étiquettes de lignes</t>
  </si>
  <si>
    <t>Total général</t>
  </si>
  <si>
    <t>Analyse des risques par Projet</t>
  </si>
  <si>
    <t>Nombre de Catégorie</t>
  </si>
  <si>
    <t>Analyse des risques par mois et gravité</t>
  </si>
  <si>
    <t>(Plusieurs éléments)</t>
  </si>
  <si>
    <t>Nombre de ID_Risque (R+Chrono)</t>
  </si>
  <si>
    <t>AMDEC/FMEA - grille de notation</t>
  </si>
  <si>
    <t>Choisissez l'échelle la plus adaptée à votre contexte. L'échelle de fréquence peut être adaptée à votre contexte.</t>
  </si>
  <si>
    <t>ÉVAL.</t>
  </si>
  <si>
    <t>DEGRÉ DE GRAVITÉ (SEV)</t>
  </si>
  <si>
    <t>PROBABILITÉ D'OCCURRENCE (OCC)</t>
  </si>
  <si>
    <t>CAPACITÉ À DÉTECTER (DET)</t>
  </si>
  <si>
    <t>Rien</t>
  </si>
  <si>
    <t>L'échec ne serait pas perceptible pour le client et n'affecterait pas le processus ou le produit du client.</t>
  </si>
  <si>
    <t>Isolé : l'échec est peu probable.</t>
  </si>
  <si>
    <t>Une occurrence sur plus de cinq ans ou moins de deux occurrences sur un milliard d'événements (Cpk &gt; 2,00).</t>
  </si>
  <si>
    <t>Presque certain</t>
  </si>
  <si>
    <t>Le défaut est évident ou il y a une inspection 100% automatique avec un étalonnage régulier et une maintenance préventive de l'équipement d'inspection.</t>
  </si>
  <si>
    <t>Mineur</t>
  </si>
  <si>
    <t>Une défaillance peut ne pas être évidente pour le client, mais aurait des effets mineurs sur le processus ou le produit du client.</t>
  </si>
  <si>
    <t>Faible : les échecs sont rares.</t>
  </si>
  <si>
    <t>Une occurrence tous les trois à cinq ans ou 2 occurrences dans un milliard d'événements (Cpk ≈ 2,00).</t>
  </si>
  <si>
    <t>Très haut</t>
  </si>
  <si>
    <t>Tous les produits sont inspectés à 100% automatiquement.</t>
  </si>
  <si>
    <t>Très limité</t>
  </si>
  <si>
    <t>L'échec créerait une nuisance mineure pour le client, mais le client peut la surmonter sans perte de performance.</t>
  </si>
  <si>
    <t>Faible : relativement peu d'échecs.</t>
  </si>
  <si>
    <t>Une occurrence tous les un à trois ans ou six occurrences sur dix millions d'événements (Cpk 1,67).</t>
  </si>
  <si>
    <t>Un programme SPC efficace est en place avec des capacités de processus (Cpk) supérieures à 1,33.</t>
  </si>
  <si>
    <t>Modérer</t>
  </si>
  <si>
    <t>Insatisfaction du client en raison de performances réduites.
L'échec peut être surmonté par des modifications du processus ou du produit du client, mais il y a une perte de performance mineure.</t>
  </si>
  <si>
    <t>Modérément faible : pannes peu fréquentes.</t>
  </si>
  <si>
    <t>Une occurrence par an ou six occurrences sur 100 000 événements (Cpk ≈ 1,33).</t>
  </si>
  <si>
    <t>Modérément élevé</t>
  </si>
  <si>
    <t>La SPC est utilisée et il y a une réaction immédiate aux conditions hors de contrôle.</t>
  </si>
  <si>
    <t>Limité</t>
  </si>
  <si>
    <t>Le client est mal à l'aise ou sa productivité est réduite par la dégradation continue de l'effet.
L'échec crée une perte de performance suffisante pour amener le client à se plaindre.</t>
  </si>
  <si>
    <t>Modéré : échecs occasionnels.</t>
  </si>
  <si>
    <t>Une occurrence tous les six mois à un an ou cinq occurrences sur 10 000 événements (Cpk ≈ 1,17).</t>
  </si>
  <si>
    <t>Un certain contrôle statistique des processus (SPC) est utilisé dans le processus et le produit est inspecté hors ligne.</t>
  </si>
  <si>
    <t>Important</t>
  </si>
  <si>
    <t>Réparation sous garantie, temps d'arrêt ou réclamation importante de fabrication ou d'assemblage.
Une défaillance entraîne un sous-système ou un dysfonctionnement partiel du produit.</t>
  </si>
  <si>
    <t>Modérément élevé : Défaillances fréquentes.</t>
  </si>
  <si>
    <t>Une occurrence tous les trois mois ou trois occurrences sur 1 000 événements (Cpk ≈ 1,00).</t>
  </si>
  <si>
    <t>Meugler</t>
  </si>
  <si>
    <t>Le produit est inspecté à 100 % manuellement à l'aide de jauges go/no-go ou d'autres jauges anti-erreur.</t>
  </si>
  <si>
    <t>Hautement significatif</t>
  </si>
  <si>
    <t>Haut degré d'insatisfaction du client en raison d'une défaillance des composants sans perte complète de fonction. Productivité impactée par des niveaux élevés de rebut ou de reprise.</t>
  </si>
  <si>
    <t>Élevé : les échecs se produisent souvent.</t>
  </si>
  <si>
    <t>Une occurrence tous les mois ou une occurrence sur 100 événements (Cpk ≈ 0,83).</t>
  </si>
  <si>
    <t>Très lent</t>
  </si>
  <si>
    <t>Le produit est inspecté à 100% manuellement dans le processus.</t>
  </si>
  <si>
    <t>Majeur</t>
  </si>
  <si>
    <t>Une panne rend l'unité inutilisable ou impropre à l'utilisation.
Très haut degré d'insatisfaction en raison de la perte de fonction sans impact négatif sur la sécurité ou les réglementations gouvernementales</t>
  </si>
  <si>
    <t>Élevé : échecs répétés.</t>
  </si>
  <si>
    <t>Une occurrence par semaine ou une probabilité de 5 occurrences sur 100 événements (Cpk ≈ 0,67).</t>
  </si>
  <si>
    <t>À distance</t>
  </si>
  <si>
    <t>Le produit est accepté sur la base de l'absence de défauts dans un échantillon.</t>
  </si>
  <si>
    <t>Critique / Dangereux avec avertissement</t>
  </si>
  <si>
    <t>Client mis en danger en raison de l'effet négatif sur les performances du système de sécurité avec avertissement avant défaillance ou violation des réglementations gouvernementales</t>
  </si>
  <si>
    <t>Élevé : les échecs se produisent presque aussi souvent qu'autrement.</t>
  </si>
  <si>
    <t>Une occurrence tous les trois à quatre jours ou une probabilité de trois occurrences sur 10 événements (Cpk 0,33).</t>
  </si>
  <si>
    <t>Très éloigné</t>
  </si>
  <si>
    <t>Le produit est échantillonné, inspecté et libéré sur la base de plans d'échantillonnage de niveau de qualité acceptable (NQA).</t>
  </si>
  <si>
    <t>Inacceptable / Dangereux sans avertissement</t>
  </si>
  <si>
    <t>Le client est en danger en raison de l'effet négatif sur les performances sûres du système sans avertissement avant une défaillance ou une violation des réglementations gouvernementales.
Une défaillance pourrait blesser le client ou un employé.</t>
  </si>
  <si>
    <t>Très élevé : L'échec est presque inévitable.</t>
  </si>
  <si>
    <t>Plus d'une occurrence par jour ou une probabilité de plus de trois occurrences sur 10 événements (Cpk &lt; 0,33).</t>
  </si>
  <si>
    <t>Incertitude absolue</t>
  </si>
  <si>
    <t>Le produit n'est pas inspecté ou le défaut causé par la défaillance n'est pas détectable.</t>
  </si>
  <si>
    <t>Analyse de risque pour le processus</t>
  </si>
  <si>
    <t xml:space="preserve"> </t>
  </si>
  <si>
    <t>Nom du projet / processus / service :</t>
  </si>
  <si>
    <t>Preparé par:</t>
  </si>
  <si>
    <t>Date (Orig):</t>
  </si>
  <si>
    <t>(Rev.): 1</t>
  </si>
  <si>
    <t>Identification des défaillances</t>
  </si>
  <si>
    <t>Gravité /Severity</t>
  </si>
  <si>
    <t>Occurrence</t>
  </si>
  <si>
    <t>Detectabilité</t>
  </si>
  <si>
    <t>Atténuation</t>
  </si>
  <si>
    <t>Valeur attendue si action efficace</t>
  </si>
  <si>
    <t>Re-évaluation après action</t>
  </si>
  <si>
    <t>Niveau de risque</t>
  </si>
  <si>
    <t>ID Action</t>
  </si>
  <si>
    <t>Activité de Management</t>
  </si>
  <si>
    <t>Mode d'échec potentiel
Description du risque</t>
  </si>
  <si>
    <t>Date d'Identification</t>
  </si>
  <si>
    <t>Origine</t>
  </si>
  <si>
    <t>Effets potentiels de défaillance</t>
  </si>
  <si>
    <t>SEV</t>
  </si>
  <si>
    <t>Causes potentiel</t>
  </si>
  <si>
    <t>OCC</t>
  </si>
  <si>
    <t>Contrôles de processus actuels</t>
  </si>
  <si>
    <t>DET</t>
  </si>
  <si>
    <t>CRI</t>
  </si>
  <si>
    <t>RPN</t>
  </si>
  <si>
    <t>Actions recommandées</t>
  </si>
  <si>
    <t>Resp</t>
  </si>
  <si>
    <t>Target date</t>
  </si>
  <si>
    <t>Actions prises</t>
  </si>
  <si>
    <t>Niveau en cours</t>
  </si>
  <si>
    <t>Niveau Initiale</t>
  </si>
  <si>
    <t>Quelle est l'étape de management ?</t>
  </si>
  <si>
    <t>Identifier toutes les pannes possibles
- Un échec peut être dupliqué si plusieurs effets et/ou si plusieurs causes pour un même effet.</t>
  </si>
  <si>
    <t>Date d'identification du risque</t>
  </si>
  <si>
    <t>Comment le risque a-t-il été identifié ?
Origine de l'identification du risque. Par exemple retour d'expérience, analyse de cahier des charges…</t>
  </si>
  <si>
    <t>Quel est l'impact sur les variables de sortie clés (exigences du client) ou les exigences internes ?
- Un impact par ligne</t>
  </si>
  <si>
    <t>Quelle est la gravité de l'effet
au client?</t>
  </si>
  <si>
    <t>« Qu'est-ce qui fait que la saisie de la clé se passe mal ? (Comment le mode de défaillance peut-il se produire ?)
Une cause potentielle par ligne.
Brainstorming sur les causes :
- homme
- Matériel
- méthode
-machine
- environnement
Déterminer les causes profondes</t>
  </si>
  <si>
    <t>Quelle est la fréquence de la cause
susceptible de se produire ?</t>
  </si>
  <si>
    <t xml:space="preserve">Quels sont les contrôles existants qui empêchent le mode de défaillance de se produire ou le détecter s'il se produit ?
Tous les moyens de contrôle correspondant à une même cause potentielle sont dans la même cellule.
Détecter:
- Chèques
- Essais planifiés
- KPI
Prévention:
- Commentaires </t>
  </si>
  <si>
    <t>Quelle est la probabilité
Détection de la cause ?</t>
  </si>
  <si>
    <t>Criticité ?</t>
  </si>
  <si>
    <t>Priorité de risque # à classer</t>
  </si>
  <si>
    <t>Quelles sont les actions pour réduire l'Occurrence de la cause, ou améliorer la Détection ?
Les actions doivent :
- éliminer l'échec SEV = 9/10
- Éliminer les causes affectant directement le résultat du processus
- réduire l'occurrence
- Améliorer la détection des tests à la dernière option.</t>
  </si>
  <si>
    <t>Qui est responsable de l'action recommandée ?
(Un seul responsable)</t>
  </si>
  <si>
    <t>Date d'achèvement de l'action souhaitée</t>
  </si>
  <si>
    <t>Quelles ont été les actions mises en place ? Inclure le mois/année d'achèvement. (Ensuite, recalculez le RPN résultant.)</t>
  </si>
  <si>
    <t>Niveau de 1ère évaluation</t>
  </si>
  <si>
    <t>Voir la fiche Facteurs de notation.</t>
  </si>
  <si>
    <t>Processus de suivi des risques</t>
  </si>
  <si>
    <t>Date / Type</t>
  </si>
  <si>
    <t>Revue de processus</t>
  </si>
  <si>
    <t>ex. PRM1</t>
  </si>
  <si>
    <t>Haut</t>
  </si>
  <si>
    <t>Medium</t>
  </si>
  <si>
    <t>Limits</t>
  </si>
  <si>
    <t>RF Scale</t>
  </si>
  <si>
    <t>Design Risk Analysis</t>
  </si>
  <si>
    <t>LOW</t>
  </si>
  <si>
    <t>Process Name:</t>
  </si>
  <si>
    <t xml:space="preserve"> FMEA Team:</t>
  </si>
  <si>
    <t>Prepared by:</t>
  </si>
  <si>
    <t>HIGH</t>
  </si>
  <si>
    <t>FMEA Date (Orig):</t>
  </si>
  <si>
    <t>(Rev.):</t>
  </si>
  <si>
    <t>VERY HIGH</t>
  </si>
  <si>
    <t>Failure identification</t>
  </si>
  <si>
    <t>Severity</t>
  </si>
  <si>
    <t>Detectability</t>
  </si>
  <si>
    <t>Mitigation</t>
  </si>
  <si>
    <t>Expected value if action efficient</t>
  </si>
  <si>
    <t>Re-evaluation after action</t>
  </si>
  <si>
    <t>Risks level</t>
  </si>
  <si>
    <t>Component</t>
  </si>
  <si>
    <t>Product
Function</t>
  </si>
  <si>
    <t>Potential Failure Mode</t>
  </si>
  <si>
    <t>Identification date</t>
  </si>
  <si>
    <t>Origin</t>
  </si>
  <si>
    <t>Potential Failure Effects</t>
  </si>
  <si>
    <t>Potential Causes</t>
  </si>
  <si>
    <t>Current Process Controls</t>
  </si>
  <si>
    <t>Actions Recommended</t>
  </si>
  <si>
    <t>Actions Taken</t>
  </si>
  <si>
    <t>On going level</t>
  </si>
  <si>
    <t>Initial
Level</t>
  </si>
  <si>
    <t xml:space="preserve">What is the process step? </t>
  </si>
  <si>
    <r>
      <t xml:space="preserve">In what ways can the Component, Subsystem or System potentially fail </t>
    </r>
    <r>
      <rPr>
        <u/>
        <sz val="10"/>
        <rFont val="Calibri"/>
        <family val="2"/>
      </rPr>
      <t>and cause a safety risk</t>
    </r>
    <r>
      <rPr>
        <sz val="10"/>
        <rFont val="Calibri"/>
        <family val="2"/>
      </rPr>
      <t>?</t>
    </r>
  </si>
  <si>
    <t>Date of identification of the risk</t>
  </si>
  <si>
    <t xml:space="preserve">How the risk have been identified?
Origin of the identification of the risk. For example return of experience, specification analyse…
</t>
  </si>
  <si>
    <t>What is the impact on Safety?</t>
  </si>
  <si>
    <t>How Severe is effect
on the system?</t>
  </si>
  <si>
    <t>List every conceivable failure and/or failure mechanism for each failure mode
One potential cause per line.
Brainstorm causes:
- man
- material
- method
- machine
- environment
Determine root causes</t>
  </si>
  <si>
    <t>How frequent is cause
likely to Occur?</t>
  </si>
  <si>
    <t>What are the existing controls that either prevent the failure mode from occurring or detect it should it occur? 
All the control means corresponding to the same potential cause are in the same cell.
Detect:
-  Checks
- Planned tests
- KPI 
Prevent:
- reviews</t>
  </si>
  <si>
    <t>How probable is
Detection of cause?</t>
  </si>
  <si>
    <t>Criticity ?</t>
  </si>
  <si>
    <t xml:space="preserve"> Risk Priority # to rank
order concerns</t>
  </si>
  <si>
    <r>
      <t>What are the actions for reducing the Occurrence of the cause, or improving Detection?</t>
    </r>
    <r>
      <rPr>
        <sz val="10"/>
        <rFont val="Arial"/>
        <family val="2"/>
      </rPr>
      <t xml:space="preserve"> 
Actions should:
- eliminate failure SEV = 9/10
- Eliminate the causes  affectinf directly the result of the process
- reduce occurrence
- Improve test detection  at last option.</t>
    </r>
  </si>
  <si>
    <t>Who's Responsible for the recommended action?
(Only one responsible)</t>
  </si>
  <si>
    <t>Date action  desired completion</t>
  </si>
  <si>
    <t>How Severe is effect
to the customer?</t>
  </si>
  <si>
    <r>
      <t xml:space="preserve">What were the actions implemented?  Include completion month/year.   (Then recalculate resulting RPN.)  </t>
    </r>
    <r>
      <rPr>
        <b/>
        <sz val="10"/>
        <rFont val="Arial"/>
        <family val="2"/>
      </rPr>
      <t xml:space="preserve"> </t>
    </r>
  </si>
  <si>
    <t>Level</t>
  </si>
  <si>
    <t>Level of 1st evaluation</t>
  </si>
  <si>
    <t>See Rating factors sheet.</t>
  </si>
  <si>
    <t>D-01</t>
  </si>
  <si>
    <t>&lt;Component 1&gt;</t>
  </si>
  <si>
    <t>&lt;Function 1&gt;</t>
  </si>
  <si>
    <t>&lt;Potential Failure 1&gt;</t>
  </si>
  <si>
    <t>D-02</t>
  </si>
  <si>
    <t>&lt;Potential Failure 2&gt;</t>
  </si>
  <si>
    <t>D-03</t>
  </si>
  <si>
    <t>&lt;Potential Failure 3&gt;</t>
  </si>
  <si>
    <t>D-04</t>
  </si>
  <si>
    <t>&lt;Function 2&gt;</t>
  </si>
  <si>
    <t>D-05</t>
  </si>
  <si>
    <t>&lt;Function 3&gt;</t>
  </si>
  <si>
    <t>D-06</t>
  </si>
  <si>
    <t>D-07</t>
  </si>
  <si>
    <t>&lt;Component 2&gt;</t>
  </si>
  <si>
    <t>D-08</t>
  </si>
  <si>
    <t>D-09</t>
  </si>
  <si>
    <t>D-10</t>
  </si>
  <si>
    <t>D-11</t>
  </si>
  <si>
    <t>D-12</t>
  </si>
  <si>
    <t>D-13</t>
  </si>
  <si>
    <t>D-14</t>
  </si>
  <si>
    <t>D-15</t>
  </si>
  <si>
    <t>D-16</t>
  </si>
  <si>
    <t>D-17</t>
  </si>
  <si>
    <t>D-18</t>
  </si>
  <si>
    <t>D-19</t>
  </si>
  <si>
    <t>D-20</t>
  </si>
  <si>
    <t>D-21</t>
  </si>
  <si>
    <t>D-22</t>
  </si>
  <si>
    <t>D-23</t>
  </si>
  <si>
    <t>D-24</t>
  </si>
  <si>
    <t>D-25</t>
  </si>
  <si>
    <t>D-26</t>
  </si>
  <si>
    <t>D-27</t>
  </si>
  <si>
    <t>Produit Risk Follow-up.</t>
  </si>
  <si>
    <t>Date</t>
  </si>
  <si>
    <t>Example KOM</t>
  </si>
  <si>
    <t>Very High</t>
  </si>
  <si>
    <t>High</t>
  </si>
  <si>
    <t>Low</t>
  </si>
  <si>
    <t>Green-IT Inventory</t>
  </si>
  <si>
    <t>Projet "Green-IT"</t>
  </si>
  <si>
    <t>Alexandre Vasseur</t>
  </si>
  <si>
    <t>Retard de livraison, baisse de qualité</t>
  </si>
  <si>
    <t>Erreur de calcul carbone : résultats peu fiables</t>
  </si>
  <si>
    <t>Dépassement du budget</t>
  </si>
  <si>
    <t>Retard du développement du MVP</t>
  </si>
  <si>
    <t>Problème de performance de l'infrastructure Cloud</t>
  </si>
  <si>
    <t>Perte de crédibilité et risque de non-conformité</t>
  </si>
  <si>
    <t>Dépassement du plafond et réduction du périmètre du MVP</t>
  </si>
  <si>
    <t>Plateforme incomplète ou indisponible pour le salon Tech Verte</t>
  </si>
  <si>
    <t>Ralentissements ou indisponibilité de la plateforme lors d'une forte utilisation</t>
  </si>
  <si>
    <t>R006</t>
  </si>
  <si>
    <t>Marc</t>
  </si>
  <si>
    <t>Non-conformité des rapports environnementaux</t>
  </si>
  <si>
    <t>Contestation des résultats, perte de confiance et nécessité de corriger les rapports</t>
  </si>
  <si>
    <t>Répartir la charge entre Sarah et Tom</t>
  </si>
  <si>
    <t>Vérifier l'algorithme avec Ines,documenter et tester les résultats</t>
  </si>
  <si>
    <t>Suivre les dépenses et le reste à faire chaque semaine. Alerter si besoin</t>
  </si>
  <si>
    <t>Identifier les fonctionnalités prioritaires, prévoir une marge pour les corrections</t>
  </si>
  <si>
    <t>Sarah</t>
  </si>
  <si>
    <t>Ines</t>
  </si>
  <si>
    <t>Réaliser des tests de disponibilité et de fonctionnement, prévoir une solution de repli</t>
  </si>
  <si>
    <t>Faire vérifier les rapports par une personne compétente en réglementation</t>
  </si>
  <si>
    <t>sept</t>
  </si>
  <si>
    <t>oct</t>
  </si>
  <si>
    <t>nov</t>
  </si>
  <si>
    <t>Calcul incorrect de l'empreinte carbone des équipements</t>
  </si>
  <si>
    <t>Développement logiciel / données carbone</t>
  </si>
  <si>
    <t>Résultats environnementaux erronés, perte de confiance des utilisateurs et rapports inexacts</t>
  </si>
  <si>
    <t>Formule incorrecte, facteur d'émission inadapté ou erreur de conversion des unités</t>
  </si>
  <si>
    <t>A confirmer delon les tests et contrôles prévus</t>
  </si>
  <si>
    <t>1-Sarah (développeuse) : mettre en place des tests unitaires sur les formules de calcul.
2-Inès (experte carbone) : vérifier les facteurs d'émission et valider les résultats de référence.
3-Sarah et Inès : réaliser des tests de validation avant la livraison du MVP.</t>
  </si>
  <si>
    <t>Inès</t>
  </si>
  <si>
    <t>Risque initial élevé lié à la fiabilité des calculs carbone. Des tests unitaires et une validation par l'experte carbone sont prévus pour réduire le risque résiduel.</t>
  </si>
  <si>
    <t>Ressources humaines/ planification du projet</t>
  </si>
  <si>
    <t>Retards de développement, erreurs dans le code, fatigue et baisse de qualité du MVP</t>
  </si>
  <si>
    <t>Surcharge de travail de Sarah et Tom entrainant une baisse de productivité</t>
  </si>
  <si>
    <t>Sous-estimations des taches, imprévus techniques et mauvaise répartition du travail</t>
  </si>
  <si>
    <t>Suivi du diagramme de gantt et points réguliers sur l'avancement</t>
  </si>
  <si>
    <t>Réévaluer régulièrement la charge de travail de Sarah et Tom, prioriser les fonctionnalités indispensables au MVP, prévoir une marge pour les imprévus</t>
  </si>
  <si>
    <t>Alexandre</t>
  </si>
  <si>
    <t>Risque de surcharge lié aux imprévus et à la sous-estimation des taches. Un suivi régulier de la charge de travail et une priorisation des fonctionnalités essentielles du MVP permettront de limiter les retards et de préserver la qualité du projet</t>
  </si>
  <si>
    <t>Dépassement du budget prévisionnel de 60 000 €</t>
  </si>
  <si>
    <t>Gestion financière / Estimation des coûts</t>
  </si>
  <si>
    <t>Dépassement de l'enveloppe budgétaire, réduction du périmètre fonctionnel du MVP ou nécessité d'obtenir un budget supplémentaire</t>
  </si>
  <si>
    <t>Mauvaise estimation des couts, imprévus techniques, augmentation des coûts d'infrastructure Cloud ou ajout de fonctionnalités</t>
  </si>
  <si>
    <t>Suivi du budget prévisionnel et comparaison régulière entre dépenses prévues et dépenses réelles</t>
  </si>
  <si>
    <t>Mettre à jour régulièrement le suivi budgetaire, controler les depenses engagées, prévoir une réserve pour les imprévus. Faire valider toutes dépenses importantes</t>
  </si>
  <si>
    <t>Alexandre avec validation du PDG</t>
  </si>
  <si>
    <t>Risque de dépassement du budget prévisionnel de 60 000 € en raison d'imprévus techniques, d'une mauvaise estimation des coûts ou de dépenbses supplementaires. Un suivi régulier du budget et validation des dépenses obligatoires</t>
  </si>
  <si>
    <t>Retard de la livraison du MVP par rapport à la date prévue</t>
  </si>
  <si>
    <t>Développement logiciel / Planification</t>
  </si>
  <si>
    <t>MVP incomplet lors du salon de la Tech Verte</t>
  </si>
  <si>
    <t>Sous estimation des taches, difficultés techniques, imprévus et dépendances entre les fonctionnalités</t>
  </si>
  <si>
    <t>Diagramme de gantt et suivi régulier de l'avancement</t>
  </si>
  <si>
    <t>Prioriser les fonctionnalités indispensables au MVP, suivre les taches critiques, prévoir une marge pour les imprévus et réaffecter les ressources si nécessaire</t>
  </si>
  <si>
    <t>Le retard de développement pourrait compromettre la présentation du MVP au salon de Tech Verte. La priorisation des fonctionnalités essentielles et le suivi du diagramme de gantt permettront de détecter les dérives et de limiter leur impact</t>
  </si>
  <si>
    <t>Infrastructure Cloud insuffisament performante pour supporter l'application</t>
  </si>
  <si>
    <t>Infrastructure informatique/Hébergement Cloud</t>
  </si>
  <si>
    <t>Temps de réponse trop long, indisponibilité de l'application et mauvaise expérience utilisateur lors de la présentation du MVP</t>
  </si>
  <si>
    <t>Ressources serveur sous-dimensionnées, mauvaise configuration, surcharge ou problème réseau</t>
  </si>
  <si>
    <t>Surveillance de l'infrastructure et vérification du fonctionnement de l'environnement Cloud</t>
  </si>
  <si>
    <t>Réaliser des tests de charge, surveiller les performances, dimensionner correctement les ressources Cloud et prévoir une procédure de sauvegarde ou de redémarrage</t>
  </si>
  <si>
    <t>Les performannces insuffisantes de l'infrastructure Cloud pourraient ralentir ou rendre indisponible l'application. Des tests de charge et de surveillance régulière permettront d'anticiper les problèmes et d'adapter les ressources necessaires.</t>
  </si>
  <si>
    <t>Rapports environnementaux contenant des informations ou des méthodes de calcul non conformes aux exigences réglementaires</t>
  </si>
  <si>
    <t>Réglementation environnementale / Expertise carbone</t>
  </si>
  <si>
    <t>Rapports inexacts ou contestables, perte de confiance des utilisateurs et risques juridique pour l'entreprise</t>
  </si>
  <si>
    <t>Mauvaise interprétation de la réglementation, utilisation de méthodes de calcul inadaptées ou absence de vérification des données</t>
  </si>
  <si>
    <t>Vérification des méthodes de calcul et des données par l'experte carbone</t>
  </si>
  <si>
    <t>Faire vérifier les méthodes de calcul et les rapports par Inés, documenter les sources des facteurs d'émission et contrôler la conformité aux référentiels réglementaires applicables</t>
  </si>
  <si>
    <t>Inès avec Alexandre</t>
  </si>
  <si>
    <t>Une non-conformité dezs rapports environnementaux pourrait entrainer des conséquences juridiques et nuire à la crédibilité du projet. La vérification des méthodes de calcul, des sources utilisées et des rapports par l'experte carbone permettra de réduire ce risque.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</si>
</sst>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_€_-;\-* #,##0.00\ _€_-;_-* &quot;-&quot;??\ _€_-;_-@_-"/>
    <numFmt numFmtId="165" formatCode="dd/mm/yy;@"/>
    <numFmt numFmtId="166" formatCode="_-* #,##0\ _€_-;\-* #,##0\ _€_-;_-* &quot;-&quot;??\ _€_-;_-@_-"/>
  </numFmts>
  <fonts count="74" x14ac:knownFonts="1">
    <font>
      <sz val="11"/>
      <color theme="1"/>
      <name val="Calibri"/>
      <family val="2"/>
      <scheme val="minor"/>
    </font>
    <font>
      <sz val="11"/>
      <color theme="1"/>
      <name val="Lato"/>
      <family val="2"/>
    </font>
    <font>
      <sz val="10"/>
      <name val="Calibri"/>
      <family val="2"/>
      <scheme val="minor"/>
    </font>
    <font>
      <b/>
      <sz val="10"/>
      <name val="Calibri"/>
      <family val="2"/>
      <scheme val="minor"/>
    </font>
    <font>
      <sz val="10"/>
      <name val="Arial"/>
      <family val="2"/>
    </font>
    <font>
      <b/>
      <u/>
      <sz val="12"/>
      <name val="Arial"/>
      <family val="2"/>
    </font>
    <font>
      <b/>
      <u/>
      <sz val="10"/>
      <name val="Arial"/>
      <family val="2"/>
    </font>
    <font>
      <b/>
      <sz val="10"/>
      <name val="Arial"/>
      <family val="2"/>
    </font>
    <font>
      <b/>
      <sz val="10"/>
      <color indexed="9"/>
      <name val="Arial"/>
      <family val="2"/>
    </font>
    <font>
      <b/>
      <sz val="14"/>
      <name val="Arial"/>
      <family val="2"/>
    </font>
    <font>
      <b/>
      <sz val="8"/>
      <color indexed="81"/>
      <name val="Tahoma"/>
      <family val="2"/>
    </font>
    <font>
      <b/>
      <sz val="10"/>
      <color indexed="9"/>
      <name val="Calibri"/>
      <family val="2"/>
      <scheme val="minor"/>
    </font>
    <font>
      <u/>
      <sz val="10"/>
      <name val="Calibri"/>
      <family val="2"/>
    </font>
    <font>
      <sz val="10"/>
      <name val="Calibri"/>
      <family val="2"/>
    </font>
    <font>
      <sz val="11"/>
      <color rgb="FF9C5700"/>
      <name val="Calibri"/>
      <family val="2"/>
      <scheme val="minor"/>
    </font>
    <font>
      <sz val="12"/>
      <color theme="1"/>
      <name val="Calibri"/>
      <family val="2"/>
      <scheme val="minor"/>
    </font>
    <font>
      <b/>
      <sz val="9"/>
      <color indexed="81"/>
      <name val="Tahoma"/>
      <family val="2"/>
    </font>
    <font>
      <sz val="10"/>
      <name val="Lato"/>
      <family val="2"/>
    </font>
    <font>
      <b/>
      <u/>
      <sz val="10"/>
      <name val="Lato"/>
      <family val="2"/>
    </font>
    <font>
      <sz val="10"/>
      <color theme="1"/>
      <name val="Lato"/>
      <family val="2"/>
    </font>
    <font>
      <b/>
      <sz val="10"/>
      <color theme="1"/>
      <name val="Lato"/>
      <family val="2"/>
    </font>
    <font>
      <sz val="10"/>
      <color theme="0"/>
      <name val="Lato"/>
      <family val="2"/>
    </font>
    <font>
      <b/>
      <sz val="10"/>
      <name val="Lato"/>
      <family val="2"/>
    </font>
    <font>
      <sz val="11"/>
      <color theme="1"/>
      <name val="Calibri"/>
      <family val="2"/>
      <scheme val="minor"/>
    </font>
    <font>
      <b/>
      <u/>
      <sz val="10"/>
      <color theme="1"/>
      <name val="Lato"/>
      <family val="2"/>
    </font>
    <font>
      <b/>
      <sz val="16"/>
      <name val="Arial"/>
      <family val="2"/>
    </font>
    <font>
      <b/>
      <sz val="18"/>
      <name val="Lato Black"/>
      <family val="2"/>
    </font>
    <font>
      <b/>
      <sz val="12"/>
      <color theme="2" tint="-0.749992370372631"/>
      <name val="Lato"/>
      <family val="2"/>
    </font>
    <font>
      <b/>
      <sz val="18"/>
      <color theme="0"/>
      <name val="Lato"/>
      <family val="2"/>
    </font>
    <font>
      <b/>
      <sz val="18"/>
      <color rgb="FF9C6500"/>
      <name val="Lato"/>
      <family val="2"/>
    </font>
    <font>
      <b/>
      <sz val="18"/>
      <color theme="1" tint="0.34998626667073579"/>
      <name val="Lato"/>
      <family val="2"/>
    </font>
    <font>
      <sz val="18"/>
      <color theme="1"/>
      <name val="Lato"/>
      <family val="2"/>
    </font>
    <font>
      <b/>
      <sz val="11"/>
      <color theme="1"/>
      <name val="Lato"/>
      <family val="2"/>
    </font>
    <font>
      <b/>
      <sz val="11"/>
      <color theme="1" tint="0.34998626667073579"/>
      <name val="Lato"/>
      <family val="2"/>
    </font>
    <font>
      <b/>
      <sz val="11"/>
      <color rgb="FF9C6500"/>
      <name val="Lato"/>
      <family val="2"/>
    </font>
    <font>
      <sz val="10"/>
      <color theme="1" tint="0.14999847407452621"/>
      <name val="Lato"/>
      <family val="2"/>
    </font>
    <font>
      <b/>
      <sz val="16"/>
      <color theme="1"/>
      <name val="Lato"/>
      <family val="2"/>
    </font>
    <font>
      <sz val="11"/>
      <name val="Lato"/>
      <family val="2"/>
    </font>
    <font>
      <sz val="24"/>
      <color theme="0"/>
      <name val="Lato Black"/>
      <family val="2"/>
    </font>
    <font>
      <sz val="9"/>
      <name val="Lato"/>
      <family val="2"/>
    </font>
    <font>
      <sz val="9"/>
      <color theme="1"/>
      <name val="Lato"/>
      <family val="2"/>
    </font>
    <font>
      <b/>
      <u/>
      <sz val="9"/>
      <name val="Lato"/>
      <family val="2"/>
    </font>
    <font>
      <u/>
      <sz val="9"/>
      <color theme="1"/>
      <name val="Lato"/>
      <family val="2"/>
    </font>
    <font>
      <b/>
      <sz val="9"/>
      <color rgb="FFFF0000"/>
      <name val="Lato"/>
      <family val="2"/>
    </font>
    <font>
      <sz val="9"/>
      <color theme="0"/>
      <name val="Lato"/>
      <family val="2"/>
    </font>
    <font>
      <b/>
      <sz val="11"/>
      <color theme="2" tint="-0.749992370372631"/>
      <name val="Lato Black"/>
      <family val="2"/>
    </font>
    <font>
      <b/>
      <sz val="11"/>
      <color theme="5" tint="-0.499984740745262"/>
      <name val="Lato"/>
      <family val="2"/>
    </font>
    <font>
      <b/>
      <sz val="9"/>
      <color theme="1"/>
      <name val="Lato"/>
      <family val="2"/>
    </font>
    <font>
      <b/>
      <sz val="9"/>
      <name val="Lato"/>
      <family val="2"/>
    </font>
    <font>
      <i/>
      <sz val="9"/>
      <color theme="1"/>
      <name val="Lato"/>
      <family val="2"/>
    </font>
    <font>
      <b/>
      <sz val="12"/>
      <name val="Lato"/>
      <family val="2"/>
    </font>
    <font>
      <b/>
      <sz val="10"/>
      <color indexed="9"/>
      <name val="Lato"/>
      <family val="2"/>
    </font>
    <font>
      <sz val="12"/>
      <color theme="0"/>
      <name val="Lato Black"/>
      <family val="2"/>
    </font>
    <font>
      <sz val="12"/>
      <color theme="5" tint="-0.499984740745262"/>
      <name val="Lato Black"/>
      <family val="2"/>
    </font>
    <font>
      <sz val="9"/>
      <color rgb="FFFF0000"/>
      <name val="Lato"/>
      <family val="2"/>
    </font>
    <font>
      <i/>
      <sz val="9"/>
      <name val="Lato"/>
      <family val="2"/>
    </font>
    <font>
      <b/>
      <sz val="12"/>
      <color theme="0"/>
      <name val="Lato Black"/>
      <family val="2"/>
    </font>
    <font>
      <b/>
      <sz val="12"/>
      <color theme="5" tint="-0.499984740745262"/>
      <name val="Lato Black"/>
      <family val="2"/>
    </font>
    <font>
      <u/>
      <sz val="11"/>
      <color theme="10"/>
      <name val="Calibri"/>
      <family val="2"/>
      <scheme val="minor"/>
    </font>
    <font>
      <b/>
      <sz val="16"/>
      <color theme="0"/>
      <name val="Lato Black"/>
      <family val="2"/>
    </font>
    <font>
      <sz val="16"/>
      <color theme="0"/>
      <name val="Lato Black"/>
      <family val="2"/>
    </font>
    <font>
      <sz val="9"/>
      <color theme="1"/>
      <name val="Lato Black"/>
      <family val="2"/>
    </font>
    <font>
      <sz val="9"/>
      <color rgb="FF000000"/>
      <name val="Lato"/>
      <family val="2"/>
    </font>
    <font>
      <u/>
      <sz val="14"/>
      <color theme="10"/>
      <name val="Calibri"/>
      <family val="2"/>
      <scheme val="minor"/>
    </font>
    <font>
      <sz val="14"/>
      <color theme="10"/>
      <name val="Calibri"/>
      <family val="2"/>
      <scheme val="minor"/>
    </font>
    <font>
      <sz val="9"/>
      <color theme="5" tint="-0.499984740745262"/>
      <name val="Lato Black"/>
      <family val="2"/>
    </font>
    <font>
      <sz val="9"/>
      <name val="Lato Black"/>
      <family val="2"/>
    </font>
    <font>
      <sz val="14"/>
      <color theme="10"/>
      <name val="Lato Black"/>
      <family val="2"/>
    </font>
    <font>
      <u/>
      <sz val="14"/>
      <color theme="10"/>
      <name val="Lato Black"/>
      <family val="2"/>
    </font>
    <font>
      <sz val="11"/>
      <name val="Lato Black"/>
      <family val="2"/>
    </font>
    <font>
      <u/>
      <sz val="14"/>
      <color theme="4"/>
      <name val="Lato Black"/>
      <family val="2"/>
    </font>
    <font>
      <u/>
      <sz val="12"/>
      <color theme="10"/>
      <name val="Lato Black"/>
      <family val="2"/>
    </font>
    <font>
      <sz val="11"/>
      <color theme="0"/>
      <name val="Lato"/>
      <family val="2"/>
    </font>
    <font>
      <sz val="8"/>
      <name val="Calibri"/>
      <family val="2"/>
      <scheme val="minor"/>
    </font>
  </fonts>
  <fills count="29">
    <fill>
      <patternFill patternType="none"/>
    </fill>
    <fill>
      <patternFill patternType="gray125"/>
    </fill>
    <fill>
      <patternFill patternType="solid">
        <fgColor rgb="FF00B0F0"/>
        <bgColor indexed="64"/>
      </patternFill>
    </fill>
    <fill>
      <patternFill patternType="solid">
        <fgColor theme="6" tint="0.59999389629810485"/>
        <bgColor indexed="64"/>
      </patternFill>
    </fill>
    <fill>
      <patternFill patternType="solid">
        <fgColor rgb="FFFFFF99"/>
        <bgColor indexed="64"/>
      </patternFill>
    </fill>
    <fill>
      <patternFill patternType="solid">
        <fgColor rgb="FFFFC000"/>
        <bgColor indexed="64"/>
      </patternFill>
    </fill>
    <fill>
      <patternFill patternType="solid">
        <fgColor rgb="FFFF000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indexed="9"/>
        <bgColor indexed="64"/>
      </patternFill>
    </fill>
    <fill>
      <patternFill patternType="solid">
        <fgColor theme="0"/>
        <bgColor indexed="64"/>
      </patternFill>
    </fill>
    <fill>
      <patternFill patternType="solid">
        <fgColor indexed="44"/>
        <bgColor indexed="64"/>
      </patternFill>
    </fill>
    <fill>
      <patternFill patternType="solid">
        <fgColor indexed="22"/>
        <bgColor indexed="64"/>
      </patternFill>
    </fill>
    <fill>
      <patternFill patternType="solid">
        <fgColor indexed="47"/>
        <bgColor indexed="64"/>
      </patternFill>
    </fill>
    <fill>
      <patternFill patternType="solid">
        <fgColor rgb="FFFFEB9C"/>
      </patternFill>
    </fill>
    <fill>
      <patternFill patternType="solid">
        <fgColor theme="7" tint="0.59999389629810485"/>
        <bgColor indexed="64"/>
      </patternFill>
    </fill>
    <fill>
      <patternFill patternType="solid">
        <fgColor theme="1" tint="4.9989318521683403E-2"/>
        <bgColor indexed="64"/>
      </patternFill>
    </fill>
    <fill>
      <patternFill patternType="solid">
        <fgColor rgb="FF92D050"/>
        <bgColor indexed="64"/>
      </patternFill>
    </fill>
    <fill>
      <patternFill patternType="solid">
        <fgColor theme="4" tint="-0.499984740745262"/>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2" tint="-0.499984740745262"/>
        <bgColor auto="1"/>
      </patternFill>
    </fill>
    <fill>
      <patternFill patternType="solid">
        <fgColor theme="1" tint="0.149998474074526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5" tint="0.39997558519241921"/>
        <bgColor indexed="64"/>
      </patternFill>
    </fill>
  </fills>
  <borders count="8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FF0000"/>
      </left>
      <right/>
      <top style="thin">
        <color indexed="64"/>
      </top>
      <bottom/>
      <diagonal/>
    </border>
    <border>
      <left style="thin">
        <color indexed="64"/>
      </left>
      <right style="medium">
        <color rgb="FFFF0000"/>
      </right>
      <top style="medium">
        <color rgb="FFFF0000"/>
      </top>
      <bottom/>
      <diagonal/>
    </border>
    <border>
      <left/>
      <right style="thin">
        <color indexed="64"/>
      </right>
      <top/>
      <bottom/>
      <diagonal/>
    </border>
    <border>
      <left style="thin">
        <color indexed="64"/>
      </left>
      <right style="medium">
        <color rgb="FFFF0000"/>
      </right>
      <top/>
      <bottom/>
      <diagonal/>
    </border>
    <border>
      <left/>
      <right/>
      <top style="medium">
        <color rgb="FFFF0000"/>
      </top>
      <bottom style="thin">
        <color indexed="64"/>
      </bottom>
      <diagonal/>
    </border>
    <border>
      <left style="medium">
        <color rgb="FFFF0000"/>
      </left>
      <right/>
      <top/>
      <bottom/>
      <diagonal/>
    </border>
    <border>
      <left/>
      <right style="thin">
        <color indexed="64"/>
      </right>
      <top style="medium">
        <color rgb="FFFF0000"/>
      </top>
      <bottom style="thin">
        <color indexed="64"/>
      </bottom>
      <diagonal/>
    </border>
    <border>
      <left style="thin">
        <color indexed="64"/>
      </left>
      <right/>
      <top style="medium">
        <color rgb="FFFF0000"/>
      </top>
      <bottom/>
      <diagonal/>
    </border>
    <border>
      <left/>
      <right/>
      <top style="dotted">
        <color indexed="64"/>
      </top>
      <bottom style="dotted">
        <color indexed="64"/>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
      <left style="thin">
        <color theme="2" tint="-9.9948118533890809E-2"/>
      </left>
      <right style="thin">
        <color theme="2" tint="-9.9948118533890809E-2"/>
      </right>
      <top style="thin">
        <color theme="2" tint="-9.9917600024414813E-2"/>
      </top>
      <bottom style="thin">
        <color theme="2" tint="-9.9917600024414813E-2"/>
      </bottom>
      <diagonal/>
    </border>
    <border>
      <left style="thin">
        <color indexed="64"/>
      </left>
      <right/>
      <top/>
      <bottom/>
      <diagonal/>
    </border>
    <border>
      <left style="thin">
        <color theme="2" tint="-9.9948118533890809E-2"/>
      </left>
      <right style="thin">
        <color theme="2" tint="-9.9948118533890809E-2"/>
      </right>
      <top style="thin">
        <color theme="4" tint="0.39997558519241921"/>
      </top>
      <bottom style="thin">
        <color theme="2" tint="-9.9917600024414813E-2"/>
      </bottom>
      <diagonal/>
    </border>
    <border>
      <left style="thin">
        <color theme="2" tint="-9.9948118533890809E-2"/>
      </left>
      <right/>
      <top style="thin">
        <color theme="2" tint="-9.9917600024414813E-2"/>
      </top>
      <bottom style="thin">
        <color theme="2" tint="-9.9917600024414813E-2"/>
      </bottom>
      <diagonal/>
    </border>
    <border>
      <left/>
      <right style="thin">
        <color theme="2" tint="-9.9948118533890809E-2"/>
      </right>
      <top style="thin">
        <color theme="2" tint="-9.9917600024414813E-2"/>
      </top>
      <bottom style="thin">
        <color theme="2" tint="-9.9917600024414813E-2"/>
      </bottom>
      <diagonal/>
    </border>
    <border>
      <left style="thin">
        <color theme="2" tint="-9.9948118533890809E-2"/>
      </left>
      <right/>
      <top style="thin">
        <color theme="2" tint="-9.9917600024414813E-2"/>
      </top>
      <bottom/>
      <diagonal/>
    </border>
    <border>
      <left/>
      <right/>
      <top style="thin">
        <color theme="2" tint="-9.9917600024414813E-2"/>
      </top>
      <bottom/>
      <diagonal/>
    </border>
    <border>
      <left/>
      <right style="thin">
        <color theme="2" tint="-9.9948118533890809E-2"/>
      </right>
      <top style="thin">
        <color theme="2" tint="-9.9917600024414813E-2"/>
      </top>
      <bottom/>
      <diagonal/>
    </border>
  </borders>
  <cellStyleXfs count="7">
    <xf numFmtId="0" fontId="0" fillId="0" borderId="0"/>
    <xf numFmtId="0" fontId="4" fillId="0" borderId="0"/>
    <xf numFmtId="0" fontId="4" fillId="0" borderId="0"/>
    <xf numFmtId="0" fontId="14" fillId="17" borderId="0" applyNumberFormat="0" applyBorder="0" applyAlignment="0" applyProtection="0"/>
    <xf numFmtId="164" fontId="23"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cellStyleXfs>
  <cellXfs count="599">
    <xf numFmtId="0" fontId="0" fillId="0" borderId="0" xfId="0"/>
    <xf numFmtId="0" fontId="5" fillId="0" borderId="0" xfId="2" applyFont="1"/>
    <xf numFmtId="0" fontId="4" fillId="0" borderId="0" xfId="2"/>
    <xf numFmtId="0" fontId="4" fillId="0" borderId="0" xfId="2" applyAlignment="1">
      <alignment horizontal="left"/>
    </xf>
    <xf numFmtId="0" fontId="4" fillId="0" borderId="0" xfId="2" applyAlignment="1">
      <alignment horizontal="left" vertical="top" wrapText="1"/>
    </xf>
    <xf numFmtId="0" fontId="2" fillId="0" borderId="0" xfId="2" applyFont="1"/>
    <xf numFmtId="0" fontId="2" fillId="0" borderId="0" xfId="2" applyFont="1" applyAlignment="1">
      <alignment horizontal="right"/>
    </xf>
    <xf numFmtId="0" fontId="4" fillId="0" borderId="18" xfId="2" applyBorder="1" applyAlignment="1">
      <alignment horizontal="left" vertical="top" wrapText="1"/>
    </xf>
    <xf numFmtId="0" fontId="4" fillId="0" borderId="19" xfId="2" applyBorder="1" applyAlignment="1">
      <alignment horizontal="left" vertical="top" wrapText="1"/>
    </xf>
    <xf numFmtId="0" fontId="4" fillId="0" borderId="20" xfId="2" applyBorder="1" applyAlignment="1" applyProtection="1">
      <alignment horizontal="center" vertical="center" wrapText="1"/>
      <protection locked="0"/>
    </xf>
    <xf numFmtId="0" fontId="4" fillId="0" borderId="20" xfId="2" applyBorder="1" applyAlignment="1">
      <alignment horizontal="left" vertical="top" wrapText="1"/>
    </xf>
    <xf numFmtId="0" fontId="4" fillId="0" borderId="1" xfId="2" applyBorder="1" applyAlignment="1" applyProtection="1">
      <alignment horizontal="left" vertical="center" wrapText="1"/>
      <protection locked="0"/>
    </xf>
    <xf numFmtId="0" fontId="4" fillId="0" borderId="4" xfId="2" applyBorder="1" applyAlignment="1" applyProtection="1">
      <alignment vertical="center" wrapText="1"/>
      <protection locked="0"/>
    </xf>
    <xf numFmtId="0" fontId="4" fillId="0" borderId="2" xfId="2" applyBorder="1" applyAlignment="1" applyProtection="1">
      <alignment vertical="center" wrapText="1"/>
      <protection locked="0"/>
    </xf>
    <xf numFmtId="0" fontId="4" fillId="0" borderId="0" xfId="2" applyAlignment="1" applyProtection="1">
      <alignment vertical="center" wrapText="1"/>
      <protection locked="0"/>
    </xf>
    <xf numFmtId="0" fontId="4" fillId="0" borderId="21" xfId="2" applyBorder="1" applyAlignment="1">
      <alignment horizontal="left" vertical="top" wrapText="1"/>
    </xf>
    <xf numFmtId="0" fontId="4" fillId="0" borderId="22" xfId="2" applyBorder="1" applyAlignment="1">
      <alignment horizontal="left" vertical="top" wrapText="1"/>
    </xf>
    <xf numFmtId="14" fontId="4" fillId="0" borderId="23" xfId="2" applyNumberFormat="1" applyBorder="1" applyAlignment="1" applyProtection="1">
      <alignment horizontal="center" vertical="center"/>
      <protection locked="0"/>
    </xf>
    <xf numFmtId="0" fontId="4" fillId="0" borderId="23" xfId="2" applyBorder="1" applyAlignment="1">
      <alignment horizontal="left" vertical="top" wrapText="1"/>
    </xf>
    <xf numFmtId="0" fontId="4" fillId="0" borderId="1" xfId="2" applyBorder="1" applyAlignment="1" applyProtection="1">
      <alignment vertical="center"/>
      <protection locked="0"/>
    </xf>
    <xf numFmtId="0" fontId="4" fillId="0" borderId="1" xfId="2" applyBorder="1" applyAlignment="1" applyProtection="1">
      <alignment vertical="center" wrapText="1"/>
      <protection locked="0"/>
    </xf>
    <xf numFmtId="0" fontId="4" fillId="0" borderId="2" xfId="2" applyBorder="1" applyAlignment="1" applyProtection="1">
      <alignment horizontal="center" vertical="center" wrapText="1"/>
      <protection locked="0"/>
    </xf>
    <xf numFmtId="0" fontId="4" fillId="0" borderId="0" xfId="2" applyAlignment="1" applyProtection="1">
      <alignment horizontal="center" vertical="center" wrapText="1"/>
      <protection locked="0"/>
    </xf>
    <xf numFmtId="14" fontId="4" fillId="0" borderId="0" xfId="2" applyNumberFormat="1" applyAlignment="1" applyProtection="1">
      <alignment horizontal="center" vertical="center"/>
      <protection locked="0"/>
    </xf>
    <xf numFmtId="0" fontId="4" fillId="0" borderId="0" xfId="2" applyAlignment="1" applyProtection="1">
      <alignment horizontal="left" vertical="top"/>
      <protection locked="0"/>
    </xf>
    <xf numFmtId="0" fontId="4" fillId="0" borderId="0" xfId="2" applyAlignment="1" applyProtection="1">
      <alignment vertical="center"/>
      <protection locked="0"/>
    </xf>
    <xf numFmtId="0" fontId="2" fillId="0" borderId="0" xfId="2" applyFont="1" applyAlignment="1">
      <alignment horizontal="center" vertical="center" wrapText="1"/>
    </xf>
    <xf numFmtId="0" fontId="4" fillId="0" borderId="0" xfId="2" applyAlignment="1">
      <alignment horizontal="left" vertical="center" wrapText="1"/>
    </xf>
    <xf numFmtId="0" fontId="2" fillId="0" borderId="0" xfId="2" applyFont="1" applyAlignment="1">
      <alignment horizontal="right" vertical="center" wrapText="1"/>
    </xf>
    <xf numFmtId="0" fontId="7" fillId="0" borderId="0" xfId="2" applyFont="1"/>
    <xf numFmtId="0" fontId="7" fillId="0" borderId="24" xfId="2" applyFont="1" applyBorder="1"/>
    <xf numFmtId="0" fontId="7" fillId="0" borderId="25" xfId="2" applyFont="1" applyBorder="1"/>
    <xf numFmtId="0" fontId="7" fillId="0" borderId="25" xfId="2" applyFont="1" applyBorder="1" applyAlignment="1">
      <alignment horizontal="left" vertical="center" wrapText="1"/>
    </xf>
    <xf numFmtId="0" fontId="7" fillId="0" borderId="26" xfId="2" applyFont="1" applyBorder="1"/>
    <xf numFmtId="0" fontId="7" fillId="9" borderId="6" xfId="2" quotePrefix="1" applyFont="1" applyFill="1" applyBorder="1" applyAlignment="1">
      <alignment horizontal="left" vertical="top" wrapText="1"/>
    </xf>
    <xf numFmtId="0" fontId="7" fillId="9" borderId="8" xfId="2" quotePrefix="1" applyFont="1" applyFill="1" applyBorder="1" applyAlignment="1">
      <alignment horizontal="left" vertical="top" wrapText="1"/>
    </xf>
    <xf numFmtId="0" fontId="7" fillId="10" borderId="6" xfId="2" quotePrefix="1" applyFont="1" applyFill="1" applyBorder="1" applyAlignment="1">
      <alignment horizontal="left" vertical="top" wrapText="1"/>
    </xf>
    <xf numFmtId="0" fontId="7" fillId="10" borderId="8" xfId="2" quotePrefix="1" applyFont="1" applyFill="1" applyBorder="1" applyAlignment="1">
      <alignment horizontal="left" vertical="top" wrapText="1"/>
    </xf>
    <xf numFmtId="0" fontId="7" fillId="11" borderId="6" xfId="2" applyFont="1" applyFill="1" applyBorder="1" applyAlignment="1">
      <alignment horizontal="left" vertical="top" wrapText="1"/>
    </xf>
    <xf numFmtId="0" fontId="7" fillId="11" borderId="8" xfId="2" applyFont="1" applyFill="1" applyBorder="1" applyAlignment="1">
      <alignment horizontal="left" vertical="top" wrapText="1"/>
    </xf>
    <xf numFmtId="0" fontId="7" fillId="0" borderId="27" xfId="2" applyFont="1" applyBorder="1" applyAlignment="1">
      <alignment horizontal="left" vertical="center"/>
    </xf>
    <xf numFmtId="0" fontId="7" fillId="0" borderId="28" xfId="2" applyFont="1" applyBorder="1" applyAlignment="1">
      <alignment horizontal="left" vertical="center"/>
    </xf>
    <xf numFmtId="0" fontId="7" fillId="0" borderId="24" xfId="2" applyFont="1" applyBorder="1" applyAlignment="1">
      <alignment horizontal="left" vertical="center" wrapText="1"/>
    </xf>
    <xf numFmtId="0" fontId="7" fillId="0" borderId="6" xfId="2" applyFont="1" applyBorder="1" applyAlignment="1">
      <alignment horizontal="left" vertical="center"/>
    </xf>
    <xf numFmtId="0" fontId="7" fillId="0" borderId="7" xfId="2" applyFont="1" applyBorder="1" applyAlignment="1">
      <alignment horizontal="left" vertical="center" wrapText="1"/>
    </xf>
    <xf numFmtId="0" fontId="7" fillId="0" borderId="8" xfId="2" applyFont="1" applyBorder="1" applyAlignment="1">
      <alignment horizontal="left" vertical="center" wrapText="1"/>
    </xf>
    <xf numFmtId="0" fontId="7" fillId="0" borderId="26" xfId="2" applyFont="1" applyBorder="1" applyAlignment="1">
      <alignment horizontal="left" vertical="center" wrapText="1"/>
    </xf>
    <xf numFmtId="0" fontId="8" fillId="2" borderId="10" xfId="2" applyFont="1" applyFill="1" applyBorder="1" applyAlignment="1">
      <alignment horizontal="center" vertical="center" wrapText="1"/>
    </xf>
    <xf numFmtId="0" fontId="8" fillId="2" borderId="27" xfId="2" applyFont="1" applyFill="1" applyBorder="1" applyAlignment="1">
      <alignment horizontal="center" vertical="center" wrapText="1"/>
    </xf>
    <xf numFmtId="0" fontId="8" fillId="2" borderId="29" xfId="2" applyFont="1" applyFill="1" applyBorder="1" applyAlignment="1">
      <alignment horizontal="center" vertical="center" wrapText="1"/>
    </xf>
    <xf numFmtId="0" fontId="8" fillId="2" borderId="30" xfId="2" applyFont="1" applyFill="1" applyBorder="1" applyAlignment="1">
      <alignment horizontal="center" vertical="center" wrapText="1"/>
    </xf>
    <xf numFmtId="0" fontId="8" fillId="2" borderId="31" xfId="2" applyFont="1" applyFill="1" applyBorder="1" applyAlignment="1">
      <alignment horizontal="center" vertical="center" wrapText="1"/>
    </xf>
    <xf numFmtId="0" fontId="8" fillId="2" borderId="31" xfId="2" applyFont="1" applyFill="1" applyBorder="1" applyAlignment="1">
      <alignment horizontal="center" vertical="center" textRotation="255" wrapText="1"/>
    </xf>
    <xf numFmtId="0" fontId="8" fillId="2" borderId="28" xfId="2" applyFont="1" applyFill="1" applyBorder="1" applyAlignment="1">
      <alignment horizontal="center" vertical="center" textRotation="255" wrapText="1"/>
    </xf>
    <xf numFmtId="0" fontId="8" fillId="2" borderId="27" xfId="2" applyFont="1" applyFill="1" applyBorder="1" applyAlignment="1">
      <alignment horizontal="center" vertical="center" textRotation="255" wrapText="1"/>
    </xf>
    <xf numFmtId="0" fontId="8" fillId="2" borderId="29" xfId="2" applyFont="1" applyFill="1" applyBorder="1" applyAlignment="1">
      <alignment horizontal="center" vertical="center" textRotation="255" wrapText="1"/>
    </xf>
    <xf numFmtId="0" fontId="8" fillId="2" borderId="30" xfId="2" applyFont="1" applyFill="1" applyBorder="1" applyAlignment="1">
      <alignment horizontal="center" vertical="center" textRotation="255" wrapText="1"/>
    </xf>
    <xf numFmtId="0" fontId="4" fillId="8" borderId="37" xfId="2" applyFill="1" applyBorder="1" applyAlignment="1">
      <alignment horizontal="center" vertical="center" wrapText="1" readingOrder="1"/>
    </xf>
    <xf numFmtId="0" fontId="4" fillId="8" borderId="38" xfId="2" applyFill="1" applyBorder="1" applyAlignment="1">
      <alignment horizontal="left" vertical="center" wrapText="1" readingOrder="1"/>
    </xf>
    <xf numFmtId="0" fontId="4" fillId="8" borderId="38" xfId="2" applyFill="1" applyBorder="1" applyAlignment="1">
      <alignment horizontal="center" vertical="center" textRotation="90" wrapText="1"/>
    </xf>
    <xf numFmtId="0" fontId="4" fillId="12" borderId="0" xfId="2" applyFill="1" applyAlignment="1">
      <alignment vertical="top" wrapText="1"/>
    </xf>
    <xf numFmtId="0" fontId="4" fillId="8" borderId="44" xfId="2" applyFill="1" applyBorder="1" applyAlignment="1">
      <alignment horizontal="left" vertical="top" wrapText="1"/>
    </xf>
    <xf numFmtId="0" fontId="4" fillId="8" borderId="45" xfId="2" applyFill="1" applyBorder="1" applyAlignment="1">
      <alignment horizontal="left" vertical="top" wrapText="1"/>
    </xf>
    <xf numFmtId="0" fontId="4" fillId="0" borderId="12" xfId="2" applyBorder="1" applyAlignment="1">
      <alignment horizontal="left" vertical="top" wrapText="1"/>
    </xf>
    <xf numFmtId="0" fontId="4" fillId="0" borderId="46" xfId="2" applyBorder="1" applyAlignment="1">
      <alignment horizontal="left" vertical="top" wrapText="1"/>
    </xf>
    <xf numFmtId="0" fontId="4" fillId="0" borderId="47" xfId="2" applyBorder="1" applyAlignment="1">
      <alignment horizontal="left" vertical="top" wrapText="1"/>
    </xf>
    <xf numFmtId="0" fontId="4" fillId="0" borderId="48" xfId="2" applyBorder="1" applyAlignment="1">
      <alignment horizontal="center" vertical="top" wrapText="1"/>
    </xf>
    <xf numFmtId="0" fontId="4" fillId="9" borderId="2" xfId="2" applyFill="1" applyBorder="1" applyAlignment="1">
      <alignment horizontal="left" vertical="top" wrapText="1"/>
    </xf>
    <xf numFmtId="0" fontId="4" fillId="9" borderId="49" xfId="2" applyFill="1" applyBorder="1" applyAlignment="1">
      <alignment horizontal="center" vertical="top" wrapText="1"/>
    </xf>
    <xf numFmtId="0" fontId="4" fillId="10" borderId="2" xfId="2" applyFill="1" applyBorder="1" applyAlignment="1">
      <alignment horizontal="left" vertical="top" wrapText="1"/>
    </xf>
    <xf numFmtId="0" fontId="4" fillId="10" borderId="49" xfId="2" applyFill="1" applyBorder="1" applyAlignment="1">
      <alignment horizontal="center" vertical="top" wrapText="1"/>
    </xf>
    <xf numFmtId="0" fontId="4" fillId="11" borderId="2" xfId="2" quotePrefix="1" applyFill="1" applyBorder="1" applyAlignment="1">
      <alignment horizontal="left" vertical="top" wrapText="1"/>
    </xf>
    <xf numFmtId="0" fontId="4" fillId="11" borderId="49" xfId="2" applyFill="1" applyBorder="1" applyAlignment="1">
      <alignment horizontal="center" vertical="top" wrapText="1"/>
    </xf>
    <xf numFmtId="0" fontId="4" fillId="0" borderId="46" xfId="2" applyBorder="1" applyAlignment="1">
      <alignment horizontal="center" vertical="top" wrapText="1"/>
    </xf>
    <xf numFmtId="0" fontId="4" fillId="13" borderId="48" xfId="2" applyFill="1" applyBorder="1" applyAlignment="1">
      <alignment horizontal="center" vertical="top" wrapText="1"/>
    </xf>
    <xf numFmtId="0" fontId="4" fillId="9" borderId="46" xfId="2" applyFill="1" applyBorder="1" applyAlignment="1">
      <alignment horizontal="center" vertical="top" wrapText="1"/>
    </xf>
    <xf numFmtId="0" fontId="4" fillId="10" borderId="3" xfId="2" applyFill="1" applyBorder="1" applyAlignment="1">
      <alignment horizontal="center" vertical="top" wrapText="1"/>
    </xf>
    <xf numFmtId="0" fontId="4" fillId="11" borderId="48" xfId="2" applyFill="1" applyBorder="1" applyAlignment="1">
      <alignment horizontal="center" vertical="top" wrapText="1"/>
    </xf>
    <xf numFmtId="0" fontId="2" fillId="13" borderId="46" xfId="2" applyFont="1" applyFill="1" applyBorder="1" applyAlignment="1">
      <alignment horizontal="center" vertical="top" wrapText="1"/>
    </xf>
    <xf numFmtId="0" fontId="4" fillId="0" borderId="48" xfId="2" quotePrefix="1" applyBorder="1" applyAlignment="1">
      <alignment horizontal="left" vertical="top" wrapText="1"/>
    </xf>
    <xf numFmtId="0" fontId="4" fillId="13" borderId="46" xfId="2" applyFill="1" applyBorder="1" applyAlignment="1">
      <alignment horizontal="center" vertical="top" wrapText="1"/>
    </xf>
    <xf numFmtId="0" fontId="2" fillId="0" borderId="0" xfId="2" applyFont="1" applyAlignment="1">
      <alignment horizontal="left" vertical="top" wrapText="1"/>
    </xf>
    <xf numFmtId="0" fontId="4" fillId="10" borderId="2" xfId="2" quotePrefix="1" applyFill="1" applyBorder="1" applyAlignment="1">
      <alignment horizontal="left" vertical="top" wrapText="1"/>
    </xf>
    <xf numFmtId="0" fontId="4" fillId="11" borderId="2" xfId="2" applyFill="1" applyBorder="1" applyAlignment="1">
      <alignment horizontal="left" vertical="top" wrapText="1"/>
    </xf>
    <xf numFmtId="0" fontId="4" fillId="9" borderId="2" xfId="2" quotePrefix="1" applyFill="1" applyBorder="1" applyAlignment="1">
      <alignment horizontal="left" vertical="top" wrapText="1"/>
    </xf>
    <xf numFmtId="0" fontId="4" fillId="0" borderId="46" xfId="2" quotePrefix="1" applyBorder="1" applyAlignment="1">
      <alignment horizontal="left" vertical="top" wrapText="1"/>
    </xf>
    <xf numFmtId="0" fontId="4" fillId="0" borderId="3" xfId="2" applyBorder="1" applyAlignment="1">
      <alignment horizontal="left" vertical="top" wrapText="1"/>
    </xf>
    <xf numFmtId="0" fontId="4" fillId="0" borderId="48" xfId="2" applyBorder="1" applyAlignment="1">
      <alignment horizontal="left" vertical="top" wrapText="1"/>
    </xf>
    <xf numFmtId="0" fontId="4" fillId="0" borderId="1" xfId="2" applyBorder="1" applyAlignment="1">
      <alignment horizontal="left" vertical="top" wrapText="1"/>
    </xf>
    <xf numFmtId="14" fontId="4" fillId="0" borderId="3" xfId="2" applyNumberFormat="1" applyBorder="1" applyAlignment="1">
      <alignment horizontal="center" vertical="top" wrapText="1"/>
    </xf>
    <xf numFmtId="0" fontId="4" fillId="0" borderId="14" xfId="2" applyBorder="1" applyAlignment="1">
      <alignment horizontal="left" vertical="top" wrapText="1"/>
    </xf>
    <xf numFmtId="0" fontId="4" fillId="0" borderId="51" xfId="2" applyBorder="1" applyAlignment="1">
      <alignment horizontal="left" vertical="top" wrapText="1"/>
    </xf>
    <xf numFmtId="0" fontId="4" fillId="0" borderId="17" xfId="2" applyBorder="1" applyAlignment="1">
      <alignment horizontal="left" vertical="top" wrapText="1"/>
    </xf>
    <xf numFmtId="0" fontId="4" fillId="0" borderId="45" xfId="2" applyBorder="1" applyAlignment="1">
      <alignment horizontal="center" vertical="top" wrapText="1"/>
    </xf>
    <xf numFmtId="0" fontId="4" fillId="0" borderId="44" xfId="2" applyBorder="1" applyAlignment="1">
      <alignment horizontal="center" vertical="top" wrapText="1"/>
    </xf>
    <xf numFmtId="0" fontId="4" fillId="9" borderId="51" xfId="2" applyFill="1" applyBorder="1" applyAlignment="1">
      <alignment horizontal="left" vertical="top" wrapText="1"/>
    </xf>
    <xf numFmtId="0" fontId="4" fillId="9" borderId="44" xfId="2" applyFill="1" applyBorder="1" applyAlignment="1">
      <alignment horizontal="center" vertical="top" wrapText="1"/>
    </xf>
    <xf numFmtId="0" fontId="4" fillId="10" borderId="16" xfId="2" applyFill="1" applyBorder="1" applyAlignment="1">
      <alignment horizontal="left" vertical="top" wrapText="1"/>
    </xf>
    <xf numFmtId="0" fontId="4" fillId="10" borderId="44" xfId="2" applyFill="1" applyBorder="1" applyAlignment="1">
      <alignment horizontal="center" vertical="top" wrapText="1"/>
    </xf>
    <xf numFmtId="0" fontId="4" fillId="11" borderId="16" xfId="2" applyFill="1" applyBorder="1" applyAlignment="1">
      <alignment horizontal="left" vertical="top" wrapText="1"/>
    </xf>
    <xf numFmtId="0" fontId="4" fillId="11" borderId="44" xfId="2" applyFill="1" applyBorder="1" applyAlignment="1">
      <alignment horizontal="center" vertical="top" wrapText="1"/>
    </xf>
    <xf numFmtId="0" fontId="4" fillId="0" borderId="51" xfId="2" applyBorder="1" applyAlignment="1">
      <alignment horizontal="center" vertical="top" wrapText="1"/>
    </xf>
    <xf numFmtId="0" fontId="4" fillId="13" borderId="44" xfId="2" applyFill="1" applyBorder="1" applyAlignment="1">
      <alignment horizontal="center" vertical="top" wrapText="1"/>
    </xf>
    <xf numFmtId="0" fontId="4" fillId="9" borderId="51" xfId="2" applyFill="1" applyBorder="1" applyAlignment="1">
      <alignment horizontal="center" vertical="top" wrapText="1"/>
    </xf>
    <xf numFmtId="0" fontId="4" fillId="10" borderId="45" xfId="2" applyFill="1" applyBorder="1" applyAlignment="1">
      <alignment horizontal="center" vertical="top" wrapText="1"/>
    </xf>
    <xf numFmtId="0" fontId="2" fillId="13" borderId="51" xfId="2" applyFont="1" applyFill="1" applyBorder="1" applyAlignment="1">
      <alignment horizontal="center" vertical="top" wrapText="1"/>
    </xf>
    <xf numFmtId="0" fontId="4" fillId="0" borderId="44" xfId="2" applyBorder="1" applyAlignment="1">
      <alignment horizontal="left" vertical="top" wrapText="1"/>
    </xf>
    <xf numFmtId="0" fontId="4" fillId="13" borderId="51" xfId="2" applyFill="1" applyBorder="1" applyAlignment="1">
      <alignment horizontal="center" vertical="top" wrapText="1"/>
    </xf>
    <xf numFmtId="0" fontId="9" fillId="0" borderId="0" xfId="2" applyFont="1"/>
    <xf numFmtId="0" fontId="6" fillId="0" borderId="0" xfId="2" applyFont="1"/>
    <xf numFmtId="14" fontId="4" fillId="0" borderId="3" xfId="2" applyNumberFormat="1" applyBorder="1"/>
    <xf numFmtId="0" fontId="7" fillId="14" borderId="3" xfId="2" applyFont="1" applyFill="1" applyBorder="1" applyAlignment="1">
      <alignment horizontal="center" vertical="center"/>
    </xf>
    <xf numFmtId="49" fontId="7" fillId="14" borderId="3" xfId="2" applyNumberFormat="1" applyFont="1" applyFill="1" applyBorder="1" applyAlignment="1">
      <alignment horizontal="center" vertical="center" wrapText="1"/>
    </xf>
    <xf numFmtId="1" fontId="4" fillId="0" borderId="3" xfId="2" applyNumberFormat="1" applyBorder="1" applyAlignment="1">
      <alignment horizontal="center"/>
    </xf>
    <xf numFmtId="0" fontId="7" fillId="15" borderId="3" xfId="2" applyFont="1" applyFill="1" applyBorder="1"/>
    <xf numFmtId="0" fontId="4" fillId="0" borderId="3" xfId="2" applyBorder="1" applyAlignment="1">
      <alignment horizontal="center"/>
    </xf>
    <xf numFmtId="0" fontId="4" fillId="0" borderId="0" xfId="2" applyAlignment="1">
      <alignment horizontal="center"/>
    </xf>
    <xf numFmtId="0" fontId="4" fillId="0" borderId="0" xfId="2" applyAlignment="1">
      <alignment horizontal="center" vertical="center" wrapText="1"/>
    </xf>
    <xf numFmtId="0" fontId="8" fillId="2" borderId="24" xfId="2" applyFont="1" applyFill="1" applyBorder="1" applyAlignment="1">
      <alignment horizontal="center" vertical="center" wrapText="1"/>
    </xf>
    <xf numFmtId="0" fontId="11" fillId="2" borderId="27" xfId="2" applyFont="1" applyFill="1" applyBorder="1" applyAlignment="1">
      <alignment horizontal="center" vertical="center" wrapText="1"/>
    </xf>
    <xf numFmtId="0" fontId="11" fillId="2" borderId="29" xfId="2" applyFont="1" applyFill="1" applyBorder="1" applyAlignment="1">
      <alignment horizontal="center" vertical="center" wrapText="1"/>
    </xf>
    <xf numFmtId="0" fontId="4" fillId="8" borderId="5" xfId="2" applyFill="1" applyBorder="1" applyAlignment="1">
      <alignment horizontal="center" vertical="top" wrapText="1"/>
    </xf>
    <xf numFmtId="0" fontId="2" fillId="16" borderId="32" xfId="2" applyFont="1" applyFill="1" applyBorder="1" applyAlignment="1">
      <alignment horizontal="left" vertical="top" wrapText="1"/>
    </xf>
    <xf numFmtId="0" fontId="2" fillId="16" borderId="34" xfId="2" applyFont="1" applyFill="1" applyBorder="1" applyAlignment="1">
      <alignment horizontal="left" vertical="top" wrapText="1"/>
    </xf>
    <xf numFmtId="0" fontId="4" fillId="8" borderId="53" xfId="2" applyFill="1" applyBorder="1" applyAlignment="1">
      <alignment horizontal="center" vertical="top" wrapText="1"/>
    </xf>
    <xf numFmtId="0" fontId="4" fillId="8" borderId="39" xfId="2" applyFill="1" applyBorder="1" applyAlignment="1">
      <alignment horizontal="center" vertical="top" wrapText="1"/>
    </xf>
    <xf numFmtId="0" fontId="4" fillId="8" borderId="40" xfId="2" applyFill="1" applyBorder="1" applyAlignment="1">
      <alignment horizontal="center" vertical="top" wrapText="1"/>
    </xf>
    <xf numFmtId="0" fontId="4" fillId="0" borderId="9" xfId="2" applyBorder="1" applyAlignment="1">
      <alignment horizontal="left" vertical="top" wrapText="1"/>
    </xf>
    <xf numFmtId="0" fontId="4" fillId="0" borderId="21" xfId="2" applyBorder="1" applyAlignment="1">
      <alignment horizontal="center" vertical="top" wrapText="1"/>
    </xf>
    <xf numFmtId="14" fontId="4" fillId="0" borderId="47" xfId="2" applyNumberFormat="1" applyBorder="1" applyAlignment="1">
      <alignment horizontal="center" vertical="top" wrapText="1"/>
    </xf>
    <xf numFmtId="0" fontId="4" fillId="0" borderId="49" xfId="2" applyBorder="1" applyAlignment="1">
      <alignment horizontal="center" vertical="top" wrapText="1"/>
    </xf>
    <xf numFmtId="0" fontId="4" fillId="10" borderId="22" xfId="2" quotePrefix="1" applyFill="1" applyBorder="1" applyAlignment="1">
      <alignment horizontal="left" vertical="top" wrapText="1"/>
    </xf>
    <xf numFmtId="0" fontId="4" fillId="11" borderId="22" xfId="2" applyFill="1" applyBorder="1" applyAlignment="1">
      <alignment horizontal="left" vertical="top" wrapText="1"/>
    </xf>
    <xf numFmtId="0" fontId="4" fillId="0" borderId="54" xfId="2" applyBorder="1" applyAlignment="1">
      <alignment horizontal="center" vertical="top" wrapText="1"/>
    </xf>
    <xf numFmtId="0" fontId="4" fillId="13" borderId="37" xfId="2" applyFill="1" applyBorder="1" applyAlignment="1">
      <alignment horizontal="center" vertical="top" wrapText="1"/>
    </xf>
    <xf numFmtId="0" fontId="4" fillId="0" borderId="55" xfId="2" quotePrefix="1" applyBorder="1" applyAlignment="1">
      <alignment horizontal="left" vertical="top" wrapText="1"/>
    </xf>
    <xf numFmtId="14" fontId="4" fillId="0" borderId="47" xfId="2" applyNumberFormat="1" applyBorder="1" applyAlignment="1">
      <alignment horizontal="left" vertical="top" wrapText="1"/>
    </xf>
    <xf numFmtId="0" fontId="4" fillId="9" borderId="54" xfId="2" applyFill="1" applyBorder="1" applyAlignment="1">
      <alignment horizontal="center" vertical="top" wrapText="1"/>
    </xf>
    <xf numFmtId="0" fontId="4" fillId="10" borderId="38" xfId="2" applyFill="1" applyBorder="1" applyAlignment="1">
      <alignment horizontal="center" vertical="top" wrapText="1"/>
    </xf>
    <xf numFmtId="0" fontId="4" fillId="11" borderId="37" xfId="2" applyFill="1" applyBorder="1" applyAlignment="1">
      <alignment horizontal="center" vertical="top" wrapText="1"/>
    </xf>
    <xf numFmtId="0" fontId="2" fillId="13" borderId="54" xfId="2" applyFont="1" applyFill="1" applyBorder="1" applyAlignment="1">
      <alignment horizontal="center" vertical="top" wrapText="1"/>
    </xf>
    <xf numFmtId="0" fontId="4" fillId="0" borderId="49" xfId="2" quotePrefix="1" applyBorder="1" applyAlignment="1">
      <alignment horizontal="left" vertical="top" wrapText="1"/>
    </xf>
    <xf numFmtId="0" fontId="4" fillId="13" borderId="54" xfId="2" applyFill="1" applyBorder="1" applyAlignment="1">
      <alignment horizontal="center" vertical="top" wrapText="1"/>
    </xf>
    <xf numFmtId="0" fontId="4" fillId="0" borderId="1" xfId="2" applyBorder="1" applyAlignment="1">
      <alignment horizontal="center" vertical="top" wrapText="1"/>
    </xf>
    <xf numFmtId="14" fontId="4" fillId="0" borderId="3" xfId="2" applyNumberFormat="1" applyBorder="1" applyAlignment="1">
      <alignment horizontal="left" vertical="top" wrapText="1"/>
    </xf>
    <xf numFmtId="0" fontId="4" fillId="10" borderId="0" xfId="2" quotePrefix="1" applyFill="1" applyAlignment="1">
      <alignment horizontal="left" vertical="top" wrapText="1"/>
    </xf>
    <xf numFmtId="0" fontId="4" fillId="0" borderId="13" xfId="2" applyBorder="1" applyAlignment="1">
      <alignment horizontal="left" vertical="top" wrapText="1"/>
    </xf>
    <xf numFmtId="0" fontId="4" fillId="0" borderId="15" xfId="2" applyBorder="1" applyAlignment="1">
      <alignment horizontal="left" vertical="top" wrapText="1"/>
    </xf>
    <xf numFmtId="0" fontId="4" fillId="0" borderId="45" xfId="2" applyBorder="1" applyAlignment="1">
      <alignment horizontal="left" vertical="top" wrapText="1"/>
    </xf>
    <xf numFmtId="0" fontId="4" fillId="7" borderId="0" xfId="2" applyFill="1"/>
    <xf numFmtId="0" fontId="0" fillId="0" borderId="0" xfId="0" applyAlignment="1">
      <alignment horizontal="left"/>
    </xf>
    <xf numFmtId="0" fontId="0" fillId="0" borderId="0" xfId="0" applyAlignment="1">
      <alignment vertical="top"/>
    </xf>
    <xf numFmtId="0" fontId="0" fillId="0" borderId="0" xfId="0" applyAlignment="1">
      <alignment vertical="top" wrapText="1"/>
    </xf>
    <xf numFmtId="0" fontId="15" fillId="0" borderId="0" xfId="0" applyFont="1" applyAlignment="1">
      <alignment vertical="top"/>
    </xf>
    <xf numFmtId="0" fontId="15" fillId="0" borderId="0" xfId="0" applyFont="1" applyAlignment="1">
      <alignment vertical="top" wrapText="1"/>
    </xf>
    <xf numFmtId="14" fontId="15" fillId="0" borderId="0" xfId="0" applyNumberFormat="1" applyFont="1" applyAlignment="1">
      <alignment horizontal="left" vertical="top"/>
    </xf>
    <xf numFmtId="0" fontId="0" fillId="0" borderId="0" xfId="0" pivotButton="1"/>
    <xf numFmtId="0" fontId="0" fillId="0" borderId="0" xfId="0" applyAlignment="1">
      <alignment horizontal="center" vertical="top"/>
    </xf>
    <xf numFmtId="0" fontId="15" fillId="0" borderId="0" xfId="0" applyFont="1" applyAlignment="1">
      <alignment horizontal="center" vertical="top"/>
    </xf>
    <xf numFmtId="0" fontId="19" fillId="0" borderId="0" xfId="0" applyFont="1"/>
    <xf numFmtId="0" fontId="20" fillId="0" borderId="0" xfId="0" applyFont="1"/>
    <xf numFmtId="0" fontId="19" fillId="0" borderId="0" xfId="0" applyFont="1" applyAlignment="1">
      <alignment vertical="center"/>
    </xf>
    <xf numFmtId="0" fontId="17" fillId="0" borderId="0" xfId="2" applyFont="1"/>
    <xf numFmtId="0" fontId="18" fillId="0" borderId="0" xfId="2" applyFont="1" applyAlignment="1">
      <alignment horizontal="left" vertical="center"/>
    </xf>
    <xf numFmtId="0" fontId="17" fillId="0" borderId="0" xfId="2" applyFont="1" applyAlignment="1">
      <alignment vertical="top"/>
    </xf>
    <xf numFmtId="0" fontId="19" fillId="0" borderId="62" xfId="0" applyFont="1" applyBorder="1"/>
    <xf numFmtId="0" fontId="19" fillId="0" borderId="61" xfId="0" applyFont="1" applyBorder="1"/>
    <xf numFmtId="0" fontId="19" fillId="0" borderId="63" xfId="0" applyFont="1" applyBorder="1"/>
    <xf numFmtId="0" fontId="19" fillId="0" borderId="64" xfId="0" applyFont="1" applyBorder="1"/>
    <xf numFmtId="0" fontId="24" fillId="0" borderId="5" xfId="0" applyFont="1" applyBorder="1"/>
    <xf numFmtId="0" fontId="19" fillId="0" borderId="56" xfId="0" applyFont="1" applyBorder="1"/>
    <xf numFmtId="0" fontId="19" fillId="0" borderId="53" xfId="0" applyFont="1" applyBorder="1"/>
    <xf numFmtId="0" fontId="25" fillId="0" borderId="0" xfId="2" applyFont="1" applyAlignment="1">
      <alignment vertical="center"/>
    </xf>
    <xf numFmtId="0" fontId="26" fillId="0" borderId="0" xfId="2" applyFont="1" applyAlignment="1">
      <alignment vertical="center"/>
    </xf>
    <xf numFmtId="0" fontId="31" fillId="0" borderId="0" xfId="0" applyFont="1" applyAlignment="1">
      <alignment vertical="top"/>
    </xf>
    <xf numFmtId="0" fontId="33" fillId="8" borderId="76" xfId="3" applyFont="1" applyFill="1" applyBorder="1" applyAlignment="1">
      <alignment horizontal="center" vertical="center" wrapText="1"/>
    </xf>
    <xf numFmtId="0" fontId="1" fillId="0" borderId="0" xfId="0" applyFont="1" applyAlignment="1">
      <alignment vertical="center" wrapText="1"/>
    </xf>
    <xf numFmtId="0" fontId="32" fillId="0" borderId="63" xfId="0" applyFont="1" applyBorder="1" applyAlignment="1">
      <alignment horizontal="center" vertical="center"/>
    </xf>
    <xf numFmtId="0" fontId="32" fillId="0" borderId="64" xfId="0" applyFont="1" applyBorder="1" applyAlignment="1">
      <alignment horizontal="center" vertical="center"/>
    </xf>
    <xf numFmtId="0" fontId="1" fillId="0" borderId="61" xfId="0" applyFont="1" applyBorder="1" applyAlignment="1">
      <alignment horizontal="center" vertical="center"/>
    </xf>
    <xf numFmtId="0" fontId="1" fillId="20" borderId="62" xfId="0" applyFont="1" applyFill="1" applyBorder="1" applyAlignment="1">
      <alignment horizontal="center" vertical="center"/>
    </xf>
    <xf numFmtId="0" fontId="34" fillId="17" borderId="76" xfId="3" applyFont="1" applyBorder="1" applyAlignment="1">
      <alignment horizontal="center" vertical="center" wrapText="1"/>
    </xf>
    <xf numFmtId="0" fontId="35" fillId="0" borderId="75" xfId="0" applyFont="1" applyBorder="1" applyAlignment="1">
      <alignment horizontal="left" vertical="center" wrapText="1"/>
    </xf>
    <xf numFmtId="0" fontId="35" fillId="0" borderId="75" xfId="0" applyFont="1" applyBorder="1" applyAlignment="1">
      <alignment vertical="center" wrapText="1"/>
    </xf>
    <xf numFmtId="14" fontId="35" fillId="0" borderId="75" xfId="0" applyNumberFormat="1" applyFont="1" applyBorder="1" applyAlignment="1">
      <alignment horizontal="center" vertical="center" wrapText="1"/>
    </xf>
    <xf numFmtId="0" fontId="35" fillId="0" borderId="75" xfId="0" applyFont="1" applyBorder="1" applyAlignment="1">
      <alignment horizontal="center" vertical="center" wrapText="1"/>
    </xf>
    <xf numFmtId="0" fontId="35" fillId="0" borderId="75" xfId="0" applyFont="1" applyBorder="1" applyAlignment="1">
      <alignment horizontal="left" vertical="center"/>
    </xf>
    <xf numFmtId="166" fontId="35" fillId="0" borderId="74" xfId="4" applyNumberFormat="1" applyFont="1" applyBorder="1" applyAlignment="1">
      <alignment horizontal="left" vertical="center"/>
    </xf>
    <xf numFmtId="14" fontId="35" fillId="0" borderId="75" xfId="0" applyNumberFormat="1" applyFont="1" applyBorder="1" applyAlignment="1">
      <alignment horizontal="left" vertical="center" wrapText="1"/>
    </xf>
    <xf numFmtId="9" fontId="35" fillId="0" borderId="75" xfId="0" applyNumberFormat="1" applyFont="1" applyBorder="1" applyAlignment="1">
      <alignment horizontal="left" vertical="center" wrapText="1"/>
    </xf>
    <xf numFmtId="0" fontId="19" fillId="0" borderId="0" xfId="0" applyFont="1" applyAlignment="1">
      <alignment vertical="top"/>
    </xf>
    <xf numFmtId="0" fontId="19" fillId="0" borderId="61" xfId="0" applyFont="1" applyBorder="1" applyAlignment="1">
      <alignment horizontal="center"/>
    </xf>
    <xf numFmtId="0" fontId="19" fillId="20" borderId="62" xfId="0" applyFont="1" applyFill="1" applyBorder="1" applyAlignment="1">
      <alignment horizontal="center"/>
    </xf>
    <xf numFmtId="0" fontId="19" fillId="0" borderId="5" xfId="0" applyFont="1" applyBorder="1"/>
    <xf numFmtId="0" fontId="35" fillId="0" borderId="74" xfId="0" applyFont="1" applyBorder="1" applyAlignment="1">
      <alignment horizontal="center" vertical="center" wrapText="1"/>
    </xf>
    <xf numFmtId="0" fontId="35" fillId="0" borderId="74" xfId="0" applyFont="1" applyBorder="1" applyAlignment="1">
      <alignment vertical="center" wrapText="1"/>
    </xf>
    <xf numFmtId="14" fontId="35" fillId="0" borderId="74" xfId="0" applyNumberFormat="1" applyFont="1" applyBorder="1" applyAlignment="1">
      <alignment horizontal="left" vertical="center" wrapText="1"/>
    </xf>
    <xf numFmtId="9" fontId="35" fillId="0" borderId="74" xfId="0" applyNumberFormat="1" applyFont="1" applyBorder="1" applyAlignment="1">
      <alignment horizontal="left" vertical="center" wrapText="1"/>
    </xf>
    <xf numFmtId="0" fontId="35" fillId="0" borderId="74" xfId="0" applyFont="1" applyBorder="1" applyAlignment="1">
      <alignment horizontal="left" vertical="center" wrapText="1"/>
    </xf>
    <xf numFmtId="0" fontId="19" fillId="5" borderId="62" xfId="0" applyFont="1" applyFill="1" applyBorder="1" applyAlignment="1">
      <alignment horizontal="center"/>
    </xf>
    <xf numFmtId="0" fontId="19" fillId="6" borderId="62" xfId="0" applyFont="1" applyFill="1" applyBorder="1" applyAlignment="1">
      <alignment horizontal="center"/>
    </xf>
    <xf numFmtId="0" fontId="21" fillId="19" borderId="62" xfId="0" applyFont="1" applyFill="1" applyBorder="1" applyAlignment="1">
      <alignment horizontal="center"/>
    </xf>
    <xf numFmtId="14" fontId="35" fillId="0" borderId="74" xfId="0" applyNumberFormat="1" applyFont="1" applyBorder="1" applyAlignment="1">
      <alignment vertical="center" wrapText="1"/>
    </xf>
    <xf numFmtId="0" fontId="19" fillId="0" borderId="63" xfId="0" applyFont="1" applyBorder="1" applyAlignment="1">
      <alignment horizontal="center"/>
    </xf>
    <xf numFmtId="0" fontId="21" fillId="19" borderId="64" xfId="0" applyFont="1" applyFill="1" applyBorder="1" applyAlignment="1">
      <alignment horizontal="center"/>
    </xf>
    <xf numFmtId="0" fontId="36" fillId="0" borderId="0" xfId="0" applyFont="1"/>
    <xf numFmtId="0" fontId="17" fillId="0" borderId="0" xfId="2" applyFont="1" applyAlignment="1">
      <alignment vertical="center"/>
    </xf>
    <xf numFmtId="0" fontId="17" fillId="0" borderId="0" xfId="2" applyFont="1" applyAlignment="1">
      <alignment vertical="center" wrapText="1"/>
    </xf>
    <xf numFmtId="0" fontId="37" fillId="0" borderId="0" xfId="2" applyFont="1"/>
    <xf numFmtId="0" fontId="2" fillId="4" borderId="3" xfId="2" applyFont="1" applyFill="1" applyBorder="1" applyAlignment="1">
      <alignment horizontal="center" vertical="top" wrapText="1"/>
    </xf>
    <xf numFmtId="2" fontId="0" fillId="0" borderId="0" xfId="0" applyNumberFormat="1" applyAlignment="1">
      <alignment horizontal="left"/>
    </xf>
    <xf numFmtId="0" fontId="39" fillId="25" borderId="0" xfId="0" applyFont="1" applyFill="1" applyAlignment="1">
      <alignment wrapText="1"/>
    </xf>
    <xf numFmtId="0" fontId="40" fillId="25"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40" fillId="0" borderId="0" xfId="0" applyFont="1" applyAlignment="1">
      <alignment horizontal="left" wrapText="1"/>
    </xf>
    <xf numFmtId="0" fontId="40" fillId="0" borderId="0" xfId="0" applyFont="1"/>
    <xf numFmtId="0" fontId="40" fillId="0" borderId="0" xfId="0" quotePrefix="1" applyFont="1" applyAlignment="1">
      <alignment horizontal="left" wrapText="1"/>
    </xf>
    <xf numFmtId="0" fontId="39" fillId="13" borderId="0" xfId="0" applyFont="1" applyFill="1" applyAlignment="1">
      <alignment wrapText="1"/>
    </xf>
    <xf numFmtId="0" fontId="41" fillId="0" borderId="0" xfId="0" applyFont="1" applyAlignment="1">
      <alignment horizontal="left" wrapText="1"/>
    </xf>
    <xf numFmtId="0" fontId="39" fillId="0" borderId="0" xfId="0" applyFont="1" applyAlignment="1">
      <alignment horizontal="left" vertical="top" wrapText="1"/>
    </xf>
    <xf numFmtId="0" fontId="39" fillId="0" borderId="0" xfId="0" applyFont="1" applyAlignment="1">
      <alignment wrapText="1"/>
    </xf>
    <xf numFmtId="0" fontId="39" fillId="0" borderId="0" xfId="0" applyFont="1" applyAlignment="1">
      <alignment horizontal="left" wrapText="1"/>
    </xf>
    <xf numFmtId="0" fontId="39" fillId="0" borderId="0" xfId="0" applyFont="1" applyAlignment="1">
      <alignment horizontal="center" vertical="top"/>
    </xf>
    <xf numFmtId="0" fontId="47" fillId="0" borderId="0" xfId="0" applyFont="1"/>
    <xf numFmtId="0" fontId="40" fillId="0" borderId="18" xfId="0" applyFont="1" applyBorder="1" applyAlignment="1">
      <alignment horizontal="center" vertical="center"/>
    </xf>
    <xf numFmtId="0" fontId="40" fillId="5" borderId="65" xfId="0" applyFont="1" applyFill="1" applyBorder="1" applyAlignment="1">
      <alignment horizontal="center" vertical="center"/>
    </xf>
    <xf numFmtId="0" fontId="40" fillId="5" borderId="20" xfId="0" applyFont="1" applyFill="1" applyBorder="1" applyAlignment="1">
      <alignment horizontal="center" vertical="center"/>
    </xf>
    <xf numFmtId="0" fontId="40" fillId="6" borderId="20" xfId="0" applyFont="1" applyFill="1" applyBorder="1" applyAlignment="1">
      <alignment horizontal="center" vertical="center"/>
    </xf>
    <xf numFmtId="0" fontId="44" fillId="19" borderId="19" xfId="0" applyFont="1" applyFill="1" applyBorder="1" applyAlignment="1">
      <alignment horizontal="center" vertical="center"/>
    </xf>
    <xf numFmtId="0" fontId="40" fillId="0" borderId="52" xfId="0" applyFont="1" applyBorder="1" applyAlignment="1">
      <alignment horizontal="center" vertical="center"/>
    </xf>
    <xf numFmtId="0" fontId="40" fillId="20" borderId="66" xfId="0" applyFont="1" applyFill="1" applyBorder="1" applyAlignment="1">
      <alignment horizontal="center" vertical="center"/>
    </xf>
    <xf numFmtId="0" fontId="40" fillId="5" borderId="0" xfId="0" applyFont="1" applyFill="1" applyAlignment="1">
      <alignment horizontal="center" vertical="center"/>
    </xf>
    <xf numFmtId="0" fontId="40" fillId="6" borderId="0" xfId="0" applyFont="1" applyFill="1" applyAlignment="1">
      <alignment horizontal="center" vertical="center"/>
    </xf>
    <xf numFmtId="0" fontId="44" fillId="19" borderId="67" xfId="0" applyFont="1" applyFill="1" applyBorder="1" applyAlignment="1">
      <alignment horizontal="center" vertical="center"/>
    </xf>
    <xf numFmtId="0" fontId="40" fillId="20" borderId="68" xfId="0" applyFont="1" applyFill="1" applyBorder="1" applyAlignment="1">
      <alignment horizontal="center" vertical="center"/>
    </xf>
    <xf numFmtId="0" fontId="40" fillId="6" borderId="67" xfId="0" applyFont="1" applyFill="1" applyBorder="1" applyAlignment="1">
      <alignment horizontal="center" vertical="center"/>
    </xf>
    <xf numFmtId="0" fontId="40" fillId="0" borderId="47" xfId="0" applyFont="1" applyBorder="1" applyAlignment="1">
      <alignment horizontal="center" vertical="center"/>
    </xf>
    <xf numFmtId="0" fontId="40" fillId="20" borderId="23" xfId="0" applyFont="1" applyFill="1" applyBorder="1" applyAlignment="1">
      <alignment horizontal="center" vertical="center"/>
    </xf>
    <xf numFmtId="0" fontId="40" fillId="20" borderId="69" xfId="0" applyFont="1" applyFill="1" applyBorder="1" applyAlignment="1">
      <alignment horizontal="center" vertical="center"/>
    </xf>
    <xf numFmtId="0" fontId="40" fillId="5" borderId="70" xfId="0" applyFont="1" applyFill="1" applyBorder="1" applyAlignment="1">
      <alignment horizontal="center" vertical="center"/>
    </xf>
    <xf numFmtId="0" fontId="40" fillId="5" borderId="67" xfId="0" applyFont="1" applyFill="1" applyBorder="1" applyAlignment="1">
      <alignment horizontal="center" vertical="center"/>
    </xf>
    <xf numFmtId="0" fontId="43" fillId="0" borderId="0" xfId="0" applyFont="1" applyAlignment="1">
      <alignment horizontal="left"/>
    </xf>
    <xf numFmtId="0" fontId="40" fillId="0" borderId="21" xfId="0" applyFont="1" applyBorder="1" applyAlignment="1">
      <alignment horizontal="center" vertical="center"/>
    </xf>
    <xf numFmtId="0" fontId="40" fillId="0" borderId="23" xfId="0" applyFont="1" applyBorder="1" applyAlignment="1">
      <alignment horizontal="center" vertical="center"/>
    </xf>
    <xf numFmtId="0" fontId="40" fillId="0" borderId="69" xfId="0" applyFont="1" applyBorder="1" applyAlignment="1">
      <alignment horizontal="center" vertical="center"/>
    </xf>
    <xf numFmtId="0" fontId="40" fillId="0" borderId="71" xfId="0" applyFont="1" applyBorder="1" applyAlignment="1">
      <alignment horizontal="center" vertical="center"/>
    </xf>
    <xf numFmtId="0" fontId="40" fillId="0" borderId="72" xfId="0" applyFont="1" applyBorder="1"/>
    <xf numFmtId="0" fontId="40" fillId="0" borderId="0" xfId="0" applyFont="1" applyAlignment="1">
      <alignment vertical="center"/>
    </xf>
    <xf numFmtId="0" fontId="47" fillId="0" borderId="0" xfId="0" applyFont="1" applyAlignment="1">
      <alignment horizontal="center" vertical="center"/>
    </xf>
    <xf numFmtId="0" fontId="40" fillId="20" borderId="3" xfId="0" applyFont="1" applyFill="1" applyBorder="1" applyAlignment="1">
      <alignment horizontal="center" vertical="center"/>
    </xf>
    <xf numFmtId="0" fontId="40" fillId="5" borderId="3" xfId="0" applyFont="1" applyFill="1" applyBorder="1" applyAlignment="1">
      <alignment horizontal="center" vertical="center"/>
    </xf>
    <xf numFmtId="0" fontId="40" fillId="6" borderId="3" xfId="0" applyFont="1" applyFill="1" applyBorder="1" applyAlignment="1">
      <alignment horizontal="center" vertical="center"/>
    </xf>
    <xf numFmtId="0" fontId="44" fillId="7" borderId="3" xfId="0" applyFont="1" applyFill="1" applyBorder="1" applyAlignment="1">
      <alignment horizontal="center" vertical="center"/>
    </xf>
    <xf numFmtId="0" fontId="48" fillId="0" borderId="0" xfId="0" applyFont="1" applyAlignment="1">
      <alignment horizontal="left" vertical="center"/>
    </xf>
    <xf numFmtId="0" fontId="40" fillId="0" borderId="73" xfId="0" applyFont="1" applyBorder="1" applyAlignment="1">
      <alignment horizontal="center" vertical="center"/>
    </xf>
    <xf numFmtId="0" fontId="49" fillId="0" borderId="0" xfId="0" applyFont="1" applyAlignment="1">
      <alignment horizontal="left" vertical="center" wrapText="1"/>
    </xf>
    <xf numFmtId="0" fontId="39" fillId="0" borderId="0" xfId="0" applyFont="1" applyAlignment="1">
      <alignment horizontal="justify" vertical="top" wrapText="1"/>
    </xf>
    <xf numFmtId="0" fontId="48" fillId="0" borderId="0" xfId="0" applyFont="1" applyAlignment="1">
      <alignment horizontal="center" vertical="top" wrapText="1"/>
    </xf>
    <xf numFmtId="0" fontId="39" fillId="3" borderId="3" xfId="0" applyFont="1" applyFill="1" applyBorder="1" applyAlignment="1">
      <alignment horizontal="center" vertical="top" wrapText="1"/>
    </xf>
    <xf numFmtId="0" fontId="39" fillId="4" borderId="3" xfId="0" applyFont="1" applyFill="1" applyBorder="1" applyAlignment="1">
      <alignment horizontal="center" vertical="top" wrapText="1"/>
    </xf>
    <xf numFmtId="0" fontId="39" fillId="5" borderId="3" xfId="0" applyFont="1" applyFill="1" applyBorder="1" applyAlignment="1">
      <alignment horizontal="center" vertical="top" wrapText="1"/>
    </xf>
    <xf numFmtId="0" fontId="39" fillId="6" borderId="3" xfId="0" applyFont="1" applyFill="1" applyBorder="1" applyAlignment="1">
      <alignment horizontal="center" vertical="top" wrapText="1"/>
    </xf>
    <xf numFmtId="0" fontId="17" fillId="0" borderId="0" xfId="2" applyFont="1" applyAlignment="1">
      <alignment horizontal="left"/>
    </xf>
    <xf numFmtId="0" fontId="50" fillId="8" borderId="9" xfId="2" applyFont="1" applyFill="1" applyBorder="1" applyAlignment="1">
      <alignment horizontal="center" vertical="center" wrapText="1"/>
    </xf>
    <xf numFmtId="0" fontId="17" fillId="0" borderId="10" xfId="2" applyFont="1" applyBorder="1" applyAlignment="1">
      <alignment vertical="top" wrapText="1"/>
    </xf>
    <xf numFmtId="0" fontId="17" fillId="0" borderId="11" xfId="2" applyFont="1" applyBorder="1" applyAlignment="1">
      <alignment vertical="top" wrapText="1"/>
    </xf>
    <xf numFmtId="0" fontId="17" fillId="0" borderId="38" xfId="2" applyFont="1" applyBorder="1" applyAlignment="1">
      <alignment vertical="top" wrapText="1"/>
    </xf>
    <xf numFmtId="0" fontId="50" fillId="8" borderId="12" xfId="2" applyFont="1" applyFill="1" applyBorder="1" applyAlignment="1">
      <alignment horizontal="center" vertical="center" wrapText="1"/>
    </xf>
    <xf numFmtId="0" fontId="17" fillId="0" borderId="13" xfId="2" applyFont="1" applyBorder="1" applyAlignment="1">
      <alignment vertical="top" wrapText="1"/>
    </xf>
    <xf numFmtId="0" fontId="17" fillId="0" borderId="1" xfId="2" applyFont="1" applyBorder="1" applyAlignment="1">
      <alignment vertical="top" wrapText="1"/>
    </xf>
    <xf numFmtId="0" fontId="17" fillId="0" borderId="3" xfId="2" applyFont="1" applyBorder="1" applyAlignment="1">
      <alignment vertical="top" wrapText="1"/>
    </xf>
    <xf numFmtId="0" fontId="50" fillId="8" borderId="14" xfId="2" applyFont="1" applyFill="1" applyBorder="1" applyAlignment="1">
      <alignment horizontal="center" vertical="center" wrapText="1"/>
    </xf>
    <xf numFmtId="0" fontId="17" fillId="0" borderId="15" xfId="2" applyFont="1" applyBorder="1" applyAlignment="1">
      <alignment vertical="top" wrapText="1"/>
    </xf>
    <xf numFmtId="0" fontId="17" fillId="0" borderId="17" xfId="2" applyFont="1" applyBorder="1" applyAlignment="1">
      <alignment vertical="top" wrapText="1"/>
    </xf>
    <xf numFmtId="0" fontId="17" fillId="0" borderId="45" xfId="2" applyFont="1" applyBorder="1" applyAlignment="1">
      <alignment vertical="top" wrapText="1"/>
    </xf>
    <xf numFmtId="0" fontId="37" fillId="0" borderId="0" xfId="2" applyFont="1" applyAlignment="1">
      <alignment horizontal="left"/>
    </xf>
    <xf numFmtId="0" fontId="17" fillId="0" borderId="19" xfId="2" applyFont="1" applyBorder="1" applyAlignment="1">
      <alignment horizontal="left" vertical="center" wrapText="1"/>
    </xf>
    <xf numFmtId="0" fontId="17" fillId="0" borderId="1" xfId="2" applyFont="1" applyBorder="1" applyAlignment="1" applyProtection="1">
      <alignment horizontal="left" vertical="center" wrapText="1"/>
      <protection locked="0"/>
    </xf>
    <xf numFmtId="0" fontId="17" fillId="0" borderId="4" xfId="2" applyFont="1" applyBorder="1" applyAlignment="1" applyProtection="1">
      <alignment horizontal="center" vertical="center" wrapText="1"/>
      <protection locked="0"/>
    </xf>
    <xf numFmtId="0" fontId="17" fillId="0" borderId="2" xfId="2" applyFont="1" applyBorder="1" applyAlignment="1" applyProtection="1">
      <alignment horizontal="center" vertical="center" wrapText="1"/>
      <protection locked="0"/>
    </xf>
    <xf numFmtId="0" fontId="17" fillId="0" borderId="0" xfId="2" applyFont="1" applyAlignment="1" applyProtection="1">
      <alignment vertical="center" wrapText="1"/>
      <protection locked="0"/>
    </xf>
    <xf numFmtId="0" fontId="17" fillId="0" borderId="0" xfId="2" applyFont="1" applyAlignment="1">
      <alignment horizontal="right"/>
    </xf>
    <xf numFmtId="0" fontId="17" fillId="0" borderId="0" xfId="2" applyFont="1" applyAlignment="1" applyProtection="1">
      <alignment horizontal="left" vertical="center" wrapText="1"/>
      <protection locked="0"/>
    </xf>
    <xf numFmtId="0" fontId="17" fillId="0" borderId="22" xfId="2" applyFont="1" applyBorder="1" applyAlignment="1">
      <alignment horizontal="center" vertical="top" wrapText="1"/>
    </xf>
    <xf numFmtId="0" fontId="17" fillId="0" borderId="1" xfId="2" applyFont="1" applyBorder="1" applyAlignment="1" applyProtection="1">
      <alignment vertical="center"/>
      <protection locked="0"/>
    </xf>
    <xf numFmtId="14" fontId="17" fillId="0" borderId="4" xfId="2" applyNumberFormat="1" applyFont="1" applyBorder="1" applyAlignment="1" applyProtection="1">
      <alignment vertical="center"/>
      <protection locked="0"/>
    </xf>
    <xf numFmtId="0" fontId="17" fillId="0" borderId="2" xfId="2" applyFont="1" applyBorder="1" applyAlignment="1" applyProtection="1">
      <alignment horizontal="left" vertical="center" wrapText="1"/>
      <protection locked="0"/>
    </xf>
    <xf numFmtId="0" fontId="17" fillId="0" borderId="0" xfId="2" applyFont="1" applyAlignment="1" applyProtection="1">
      <alignment horizontal="center" vertical="center" wrapText="1"/>
      <protection locked="0"/>
    </xf>
    <xf numFmtId="0" fontId="17" fillId="0" borderId="0" xfId="2" applyFont="1" applyAlignment="1">
      <alignment horizontal="left" vertical="top" wrapText="1"/>
    </xf>
    <xf numFmtId="14" fontId="17" fillId="0" borderId="0" xfId="2" applyNumberFormat="1" applyFont="1" applyAlignment="1" applyProtection="1">
      <alignment horizontal="center" vertical="center"/>
      <protection locked="0"/>
    </xf>
    <xf numFmtId="0" fontId="17" fillId="0" borderId="0" xfId="2" applyFont="1" applyAlignment="1" applyProtection="1">
      <alignment horizontal="left" vertical="top"/>
      <protection locked="0"/>
    </xf>
    <xf numFmtId="0" fontId="17" fillId="0" borderId="0" xfId="2" applyFont="1" applyAlignment="1" applyProtection="1">
      <alignment vertical="center"/>
      <protection locked="0"/>
    </xf>
    <xf numFmtId="0" fontId="17" fillId="0" borderId="0" xfId="2" applyFont="1" applyAlignment="1">
      <alignment horizontal="center" vertical="center" wrapText="1"/>
    </xf>
    <xf numFmtId="0" fontId="22" fillId="0" borderId="7" xfId="2" applyFont="1" applyBorder="1" applyAlignment="1">
      <alignment horizontal="left" vertical="center" wrapText="1"/>
    </xf>
    <xf numFmtId="0" fontId="22" fillId="0" borderId="27" xfId="2" applyFont="1" applyBorder="1" applyAlignment="1">
      <alignment horizontal="left" vertical="center"/>
    </xf>
    <xf numFmtId="0" fontId="22" fillId="0" borderId="28" xfId="2" applyFont="1" applyBorder="1" applyAlignment="1">
      <alignment horizontal="left" vertical="center"/>
    </xf>
    <xf numFmtId="0" fontId="22" fillId="0" borderId="24" xfId="2" applyFont="1" applyBorder="1" applyAlignment="1">
      <alignment horizontal="left" vertical="center" wrapText="1"/>
    </xf>
    <xf numFmtId="0" fontId="22" fillId="0" borderId="25" xfId="2" applyFont="1" applyBorder="1" applyAlignment="1">
      <alignment horizontal="left" vertical="center" wrapText="1"/>
    </xf>
    <xf numFmtId="0" fontId="22" fillId="0" borderId="6" xfId="2" applyFont="1" applyBorder="1" applyAlignment="1">
      <alignment horizontal="left" vertical="center"/>
    </xf>
    <xf numFmtId="0" fontId="22" fillId="0" borderId="8" xfId="2" applyFont="1" applyBorder="1" applyAlignment="1">
      <alignment horizontal="left" vertical="center" wrapText="1"/>
    </xf>
    <xf numFmtId="0" fontId="22" fillId="0" borderId="26" xfId="2" applyFont="1" applyBorder="1" applyAlignment="1">
      <alignment horizontal="left" vertical="center" wrapText="1"/>
    </xf>
    <xf numFmtId="0" fontId="51" fillId="7" borderId="10" xfId="2" applyFont="1" applyFill="1" applyBorder="1" applyAlignment="1">
      <alignment horizontal="center" vertical="center" wrapText="1"/>
    </xf>
    <xf numFmtId="0" fontId="51" fillId="7" borderId="27" xfId="2" applyFont="1" applyFill="1" applyBorder="1" applyAlignment="1">
      <alignment horizontal="center" vertical="center" wrapText="1"/>
    </xf>
    <xf numFmtId="0" fontId="51" fillId="7" borderId="28" xfId="2" applyFont="1" applyFill="1" applyBorder="1" applyAlignment="1">
      <alignment horizontal="center" vertical="center" wrapText="1"/>
    </xf>
    <xf numFmtId="0" fontId="51" fillId="7" borderId="29" xfId="2" applyFont="1" applyFill="1" applyBorder="1" applyAlignment="1">
      <alignment horizontal="center" vertical="center" wrapText="1"/>
    </xf>
    <xf numFmtId="0" fontId="51" fillId="7" borderId="30" xfId="2" applyFont="1" applyFill="1" applyBorder="1" applyAlignment="1">
      <alignment horizontal="center" vertical="center" wrapText="1"/>
    </xf>
    <xf numFmtId="0" fontId="51" fillId="7" borderId="31" xfId="2" applyFont="1" applyFill="1" applyBorder="1" applyAlignment="1">
      <alignment horizontal="center" vertical="center" wrapText="1"/>
    </xf>
    <xf numFmtId="0" fontId="51" fillId="7" borderId="31" xfId="2" applyFont="1" applyFill="1" applyBorder="1" applyAlignment="1">
      <alignment horizontal="center" vertical="center" textRotation="255" wrapText="1"/>
    </xf>
    <xf numFmtId="0" fontId="51" fillId="7" borderId="28" xfId="2" applyFont="1" applyFill="1" applyBorder="1" applyAlignment="1">
      <alignment horizontal="center" vertical="center" textRotation="255" wrapText="1"/>
    </xf>
    <xf numFmtId="0" fontId="51" fillId="7" borderId="27" xfId="2" applyFont="1" applyFill="1" applyBorder="1" applyAlignment="1">
      <alignment horizontal="center" vertical="center" textRotation="255" wrapText="1"/>
    </xf>
    <xf numFmtId="0" fontId="51" fillId="7" borderId="29" xfId="2" applyFont="1" applyFill="1" applyBorder="1" applyAlignment="1">
      <alignment horizontal="center" vertical="center" textRotation="255" wrapText="1"/>
    </xf>
    <xf numFmtId="0" fontId="51" fillId="7" borderId="30" xfId="2" applyFont="1" applyFill="1" applyBorder="1" applyAlignment="1">
      <alignment horizontal="center" vertical="center" textRotation="255" wrapText="1"/>
    </xf>
    <xf numFmtId="0" fontId="17" fillId="8" borderId="37" xfId="2" applyFont="1" applyFill="1" applyBorder="1" applyAlignment="1">
      <alignment horizontal="center" vertical="center" wrapText="1" readingOrder="1"/>
    </xf>
    <xf numFmtId="0" fontId="17" fillId="8" borderId="38" xfId="2" applyFont="1" applyFill="1" applyBorder="1" applyAlignment="1">
      <alignment horizontal="left" vertical="center" wrapText="1" readingOrder="1"/>
    </xf>
    <xf numFmtId="0" fontId="17" fillId="8" borderId="38" xfId="2" applyFont="1" applyFill="1" applyBorder="1" applyAlignment="1">
      <alignment horizontal="center" vertical="center" textRotation="90" wrapText="1"/>
    </xf>
    <xf numFmtId="0" fontId="17" fillId="8" borderId="44" xfId="2" applyFont="1" applyFill="1" applyBorder="1" applyAlignment="1">
      <alignment horizontal="left" vertical="top" wrapText="1"/>
    </xf>
    <xf numFmtId="0" fontId="17" fillId="0" borderId="12" xfId="2" applyFont="1" applyBorder="1" applyAlignment="1">
      <alignment horizontal="left" vertical="top" wrapText="1"/>
    </xf>
    <xf numFmtId="0" fontId="17" fillId="0" borderId="46" xfId="2" applyFont="1" applyBorder="1" applyAlignment="1">
      <alignment horizontal="left" vertical="top" wrapText="1"/>
    </xf>
    <xf numFmtId="0" fontId="17" fillId="0" borderId="47" xfId="2" applyFont="1" applyBorder="1" applyAlignment="1">
      <alignment horizontal="left" vertical="top" wrapText="1"/>
    </xf>
    <xf numFmtId="14" fontId="17" fillId="0" borderId="47" xfId="2" quotePrefix="1" applyNumberFormat="1" applyFont="1" applyBorder="1" applyAlignment="1">
      <alignment horizontal="left" vertical="top" wrapText="1"/>
    </xf>
    <xf numFmtId="0" fontId="17" fillId="0" borderId="48" xfId="2" applyFont="1" applyBorder="1" applyAlignment="1">
      <alignment horizontal="center" vertical="top" wrapText="1"/>
    </xf>
    <xf numFmtId="0" fontId="17" fillId="9" borderId="2" xfId="2" applyFont="1" applyFill="1" applyBorder="1" applyAlignment="1">
      <alignment horizontal="left" vertical="top" wrapText="1"/>
    </xf>
    <xf numFmtId="0" fontId="17" fillId="9" borderId="49" xfId="2" applyFont="1" applyFill="1" applyBorder="1" applyAlignment="1">
      <alignment horizontal="center" vertical="top" wrapText="1"/>
    </xf>
    <xf numFmtId="0" fontId="17" fillId="10" borderId="2" xfId="2" quotePrefix="1" applyFont="1" applyFill="1" applyBorder="1" applyAlignment="1">
      <alignment horizontal="left" vertical="top" wrapText="1"/>
    </xf>
    <xf numFmtId="0" fontId="17" fillId="10" borderId="49" xfId="2" applyFont="1" applyFill="1" applyBorder="1" applyAlignment="1">
      <alignment horizontal="center" vertical="top" wrapText="1"/>
    </xf>
    <xf numFmtId="0" fontId="17" fillId="11" borderId="2" xfId="2" applyFont="1" applyFill="1" applyBorder="1" applyAlignment="1">
      <alignment horizontal="left" vertical="top" wrapText="1"/>
    </xf>
    <xf numFmtId="0" fontId="17" fillId="11" borderId="49" xfId="2" applyFont="1" applyFill="1" applyBorder="1" applyAlignment="1">
      <alignment horizontal="center" vertical="top" wrapText="1"/>
    </xf>
    <xf numFmtId="0" fontId="17" fillId="0" borderId="46" xfId="2" applyFont="1" applyBorder="1" applyAlignment="1">
      <alignment horizontal="center" vertical="top" wrapText="1"/>
    </xf>
    <xf numFmtId="0" fontId="17" fillId="13" borderId="48" xfId="2" applyFont="1" applyFill="1" applyBorder="1" applyAlignment="1">
      <alignment horizontal="center" vertical="top" wrapText="1"/>
    </xf>
    <xf numFmtId="0" fontId="17" fillId="0" borderId="3" xfId="2" applyFont="1" applyBorder="1" applyAlignment="1">
      <alignment horizontal="center" vertical="center" wrapText="1"/>
    </xf>
    <xf numFmtId="165" fontId="17" fillId="0" borderId="3" xfId="2" applyNumberFormat="1" applyFont="1" applyBorder="1" applyAlignment="1">
      <alignment horizontal="center" vertical="center" wrapText="1"/>
    </xf>
    <xf numFmtId="0" fontId="17" fillId="9" borderId="46" xfId="2" applyFont="1" applyFill="1" applyBorder="1" applyAlignment="1">
      <alignment horizontal="center" vertical="top" wrapText="1"/>
    </xf>
    <xf numFmtId="0" fontId="17" fillId="10" borderId="3" xfId="2" applyFont="1" applyFill="1" applyBorder="1" applyAlignment="1">
      <alignment horizontal="center" vertical="top" wrapText="1"/>
    </xf>
    <xf numFmtId="0" fontId="17" fillId="11" borderId="48" xfId="2" applyFont="1" applyFill="1" applyBorder="1" applyAlignment="1">
      <alignment horizontal="center" vertical="top" wrapText="1"/>
    </xf>
    <xf numFmtId="0" fontId="17" fillId="13" borderId="46" xfId="2" applyFont="1" applyFill="1" applyBorder="1" applyAlignment="1">
      <alignment horizontal="center" vertical="top" wrapText="1"/>
    </xf>
    <xf numFmtId="0" fontId="17" fillId="0" borderId="48" xfId="2" quotePrefix="1" applyFont="1" applyBorder="1" applyAlignment="1">
      <alignment horizontal="left" vertical="top" wrapText="1"/>
    </xf>
    <xf numFmtId="0" fontId="17" fillId="10" borderId="2" xfId="2" applyFont="1" applyFill="1" applyBorder="1" applyAlignment="1">
      <alignment horizontal="left" vertical="top" wrapText="1"/>
    </xf>
    <xf numFmtId="0" fontId="17" fillId="0" borderId="3" xfId="2" applyFont="1" applyBorder="1" applyAlignment="1">
      <alignment horizontal="left" vertical="top" wrapText="1"/>
    </xf>
    <xf numFmtId="0" fontId="17" fillId="11" borderId="2" xfId="2" quotePrefix="1" applyFont="1" applyFill="1" applyBorder="1" applyAlignment="1">
      <alignment horizontal="left" vertical="top" wrapText="1"/>
    </xf>
    <xf numFmtId="0" fontId="17" fillId="0" borderId="48" xfId="2" applyFont="1" applyBorder="1" applyAlignment="1">
      <alignment horizontal="left" vertical="top" wrapText="1"/>
    </xf>
    <xf numFmtId="0" fontId="17" fillId="9" borderId="2" xfId="2" quotePrefix="1" applyFont="1" applyFill="1" applyBorder="1" applyAlignment="1">
      <alignment horizontal="left" vertical="top" wrapText="1"/>
    </xf>
    <xf numFmtId="0" fontId="17" fillId="0" borderId="50" xfId="2" applyFont="1" applyBorder="1" applyAlignment="1">
      <alignment horizontal="left" vertical="top" wrapText="1"/>
    </xf>
    <xf numFmtId="0" fontId="17" fillId="0" borderId="1" xfId="2" applyFont="1" applyBorder="1" applyAlignment="1">
      <alignment horizontal="left" vertical="top" wrapText="1"/>
    </xf>
    <xf numFmtId="14" fontId="17" fillId="0" borderId="3" xfId="2" applyNumberFormat="1" applyFont="1" applyBorder="1" applyAlignment="1">
      <alignment horizontal="center" vertical="top" wrapText="1"/>
    </xf>
    <xf numFmtId="0" fontId="17" fillId="0" borderId="3" xfId="2" applyFont="1" applyBorder="1" applyAlignment="1">
      <alignment horizontal="center" vertical="top" wrapText="1"/>
    </xf>
    <xf numFmtId="0" fontId="17" fillId="0" borderId="14" xfId="2" applyFont="1" applyBorder="1" applyAlignment="1">
      <alignment horizontal="left" vertical="top" wrapText="1"/>
    </xf>
    <xf numFmtId="0" fontId="17" fillId="0" borderId="51" xfId="2" applyFont="1" applyBorder="1" applyAlignment="1">
      <alignment horizontal="left" vertical="top" wrapText="1"/>
    </xf>
    <xf numFmtId="0" fontId="17" fillId="0" borderId="17" xfId="2" applyFont="1" applyBorder="1" applyAlignment="1">
      <alignment horizontal="left" vertical="top" wrapText="1"/>
    </xf>
    <xf numFmtId="0" fontId="17" fillId="0" borderId="45" xfId="2" applyFont="1" applyBorder="1" applyAlignment="1">
      <alignment horizontal="center" vertical="top" wrapText="1"/>
    </xf>
    <xf numFmtId="0" fontId="17" fillId="0" borderId="44" xfId="2" applyFont="1" applyBorder="1" applyAlignment="1">
      <alignment horizontal="center" vertical="top" wrapText="1"/>
    </xf>
    <xf numFmtId="0" fontId="17" fillId="9" borderId="51" xfId="2" applyFont="1" applyFill="1" applyBorder="1" applyAlignment="1">
      <alignment horizontal="left" vertical="top" wrapText="1"/>
    </xf>
    <xf numFmtId="0" fontId="17" fillId="9" borderId="44" xfId="2" applyFont="1" applyFill="1" applyBorder="1" applyAlignment="1">
      <alignment horizontal="center" vertical="top" wrapText="1"/>
    </xf>
    <xf numFmtId="0" fontId="17" fillId="10" borderId="16" xfId="2" applyFont="1" applyFill="1" applyBorder="1" applyAlignment="1">
      <alignment horizontal="left" vertical="top" wrapText="1"/>
    </xf>
    <xf numFmtId="0" fontId="17" fillId="10" borderId="44" xfId="2" applyFont="1" applyFill="1" applyBorder="1" applyAlignment="1">
      <alignment horizontal="center" vertical="top" wrapText="1"/>
    </xf>
    <xf numFmtId="0" fontId="17" fillId="11" borderId="16" xfId="2" applyFont="1" applyFill="1" applyBorder="1" applyAlignment="1">
      <alignment horizontal="left" vertical="top" wrapText="1"/>
    </xf>
    <xf numFmtId="0" fontId="17" fillId="11" borderId="44" xfId="2" applyFont="1" applyFill="1" applyBorder="1" applyAlignment="1">
      <alignment horizontal="center" vertical="top" wrapText="1"/>
    </xf>
    <xf numFmtId="0" fontId="17" fillId="0" borderId="51" xfId="2" applyFont="1" applyBorder="1" applyAlignment="1">
      <alignment horizontal="center" vertical="top" wrapText="1"/>
    </xf>
    <xf numFmtId="0" fontId="17" fillId="13" borderId="44" xfId="2" applyFont="1" applyFill="1" applyBorder="1" applyAlignment="1">
      <alignment horizontal="center" vertical="top" wrapText="1"/>
    </xf>
    <xf numFmtId="0" fontId="17" fillId="0" borderId="45" xfId="2" applyFont="1" applyBorder="1" applyAlignment="1">
      <alignment horizontal="center" vertical="center" wrapText="1"/>
    </xf>
    <xf numFmtId="165" fontId="17" fillId="0" borderId="45" xfId="2" applyNumberFormat="1" applyFont="1" applyBorder="1" applyAlignment="1">
      <alignment horizontal="center" vertical="center" wrapText="1"/>
    </xf>
    <xf numFmtId="0" fontId="17" fillId="9" borderId="51" xfId="2" applyFont="1" applyFill="1" applyBorder="1" applyAlignment="1">
      <alignment horizontal="center" vertical="top" wrapText="1"/>
    </xf>
    <xf numFmtId="0" fontId="17" fillId="10" borderId="45" xfId="2" applyFont="1" applyFill="1" applyBorder="1" applyAlignment="1">
      <alignment horizontal="center" vertical="top" wrapText="1"/>
    </xf>
    <xf numFmtId="0" fontId="17" fillId="13" borderId="51" xfId="2" applyFont="1" applyFill="1" applyBorder="1" applyAlignment="1">
      <alignment horizontal="center" vertical="top" wrapText="1"/>
    </xf>
    <xf numFmtId="0" fontId="17" fillId="0" borderId="44" xfId="2" applyFont="1" applyBorder="1" applyAlignment="1">
      <alignment horizontal="left" vertical="top" wrapText="1"/>
    </xf>
    <xf numFmtId="0" fontId="7" fillId="0" borderId="0" xfId="2" applyFont="1" applyAlignment="1">
      <alignment vertical="center"/>
    </xf>
    <xf numFmtId="0" fontId="22" fillId="0" borderId="6" xfId="2" applyFont="1" applyBorder="1" applyAlignment="1">
      <alignment vertical="center"/>
    </xf>
    <xf numFmtId="0" fontId="22" fillId="0" borderId="7" xfId="2" applyFont="1" applyBorder="1" applyAlignment="1">
      <alignment vertical="center"/>
    </xf>
    <xf numFmtId="0" fontId="22" fillId="0" borderId="8" xfId="2" applyFont="1" applyBorder="1" applyAlignment="1">
      <alignment vertical="center"/>
    </xf>
    <xf numFmtId="0" fontId="22" fillId="9" borderId="6" xfId="2" quotePrefix="1" applyFont="1" applyFill="1" applyBorder="1" applyAlignment="1">
      <alignment horizontal="left" vertical="center" wrapText="1"/>
    </xf>
    <xf numFmtId="0" fontId="22" fillId="9" borderId="8" xfId="2" quotePrefix="1" applyFont="1" applyFill="1" applyBorder="1" applyAlignment="1">
      <alignment horizontal="left" vertical="center" wrapText="1"/>
    </xf>
    <xf numFmtId="0" fontId="22" fillId="10" borderId="6" xfId="2" quotePrefix="1" applyFont="1" applyFill="1" applyBorder="1" applyAlignment="1">
      <alignment horizontal="left" vertical="center" wrapText="1"/>
    </xf>
    <xf numFmtId="0" fontId="22" fillId="10" borderId="8" xfId="2" quotePrefix="1" applyFont="1" applyFill="1" applyBorder="1" applyAlignment="1">
      <alignment horizontal="left" vertical="center" wrapText="1"/>
    </xf>
    <xf numFmtId="0" fontId="22" fillId="11" borderId="6" xfId="2" applyFont="1" applyFill="1" applyBorder="1" applyAlignment="1">
      <alignment horizontal="left" vertical="center" wrapText="1"/>
    </xf>
    <xf numFmtId="0" fontId="22" fillId="11" borderId="8" xfId="2" applyFont="1" applyFill="1" applyBorder="1" applyAlignment="1">
      <alignment horizontal="left" vertical="center" wrapText="1"/>
    </xf>
    <xf numFmtId="0" fontId="4" fillId="0" borderId="0" xfId="2" applyAlignment="1">
      <alignment vertical="center"/>
    </xf>
    <xf numFmtId="14" fontId="17" fillId="0" borderId="3" xfId="2" applyNumberFormat="1" applyFont="1" applyBorder="1"/>
    <xf numFmtId="0" fontId="22" fillId="14" borderId="3" xfId="2" applyFont="1" applyFill="1" applyBorder="1" applyAlignment="1">
      <alignment horizontal="center" vertical="center"/>
    </xf>
    <xf numFmtId="49" fontId="22" fillId="14" borderId="3" xfId="2" applyNumberFormat="1" applyFont="1" applyFill="1" applyBorder="1" applyAlignment="1">
      <alignment horizontal="center" vertical="center" wrapText="1"/>
    </xf>
    <xf numFmtId="1" fontId="17" fillId="0" borderId="3" xfId="2" applyNumberFormat="1" applyFont="1" applyBorder="1" applyAlignment="1">
      <alignment horizontal="center"/>
    </xf>
    <xf numFmtId="0" fontId="22" fillId="15" borderId="3" xfId="2" applyFont="1" applyFill="1" applyBorder="1"/>
    <xf numFmtId="0" fontId="17" fillId="0" borderId="3" xfId="2" applyFont="1" applyBorder="1" applyAlignment="1">
      <alignment horizontal="center"/>
    </xf>
    <xf numFmtId="0" fontId="52" fillId="7" borderId="60" xfId="2" applyFont="1" applyFill="1" applyBorder="1" applyAlignment="1">
      <alignment horizontal="center" vertical="center" wrapText="1"/>
    </xf>
    <xf numFmtId="0" fontId="32" fillId="0" borderId="5" xfId="0" applyFont="1" applyBorder="1"/>
    <xf numFmtId="0" fontId="32" fillId="0" borderId="53" xfId="0" applyFont="1" applyBorder="1"/>
    <xf numFmtId="0" fontId="40" fillId="0" borderId="0" xfId="0" applyFont="1" applyAlignment="1">
      <alignment horizontal="left"/>
    </xf>
    <xf numFmtId="0" fontId="40" fillId="0" borderId="0" xfId="0" quotePrefix="1" applyFont="1" applyAlignment="1">
      <alignment horizontal="left"/>
    </xf>
    <xf numFmtId="0" fontId="42" fillId="0" borderId="0" xfId="0" applyFont="1" applyAlignment="1">
      <alignment horizontal="left"/>
    </xf>
    <xf numFmtId="0" fontId="43" fillId="0" borderId="0" xfId="0" applyFont="1"/>
    <xf numFmtId="0" fontId="57" fillId="0" borderId="0" xfId="0" applyFont="1"/>
    <xf numFmtId="0" fontId="57" fillId="0" borderId="0" xfId="2" applyFont="1"/>
    <xf numFmtId="0" fontId="45" fillId="0" borderId="0" xfId="0" applyFont="1" applyAlignment="1">
      <alignment horizontal="center" wrapText="1"/>
    </xf>
    <xf numFmtId="0" fontId="29" fillId="18" borderId="76" xfId="3" applyFont="1" applyFill="1" applyBorder="1" applyAlignment="1">
      <alignment horizontal="center" vertical="top"/>
    </xf>
    <xf numFmtId="0" fontId="30" fillId="8" borderId="76" xfId="3" applyFont="1" applyFill="1" applyBorder="1" applyAlignment="1">
      <alignment horizontal="center" vertical="top"/>
    </xf>
    <xf numFmtId="0" fontId="40" fillId="0" borderId="0" xfId="0" applyFont="1" applyAlignment="1">
      <alignment horizontal="left" vertical="center"/>
    </xf>
    <xf numFmtId="0" fontId="48" fillId="0" borderId="1" xfId="0" applyFont="1" applyBorder="1" applyAlignment="1">
      <alignment horizontal="center" wrapText="1"/>
    </xf>
    <xf numFmtId="0" fontId="48" fillId="0" borderId="2" xfId="0" applyFont="1" applyBorder="1" applyAlignment="1">
      <alignment horizontal="center" wrapText="1"/>
    </xf>
    <xf numFmtId="0" fontId="40" fillId="0" borderId="0" xfId="0" applyFont="1" applyAlignment="1">
      <alignment horizontal="left" vertical="center" wrapText="1"/>
    </xf>
    <xf numFmtId="0" fontId="39" fillId="0" borderId="0" xfId="0" applyFont="1" applyAlignment="1">
      <alignment horizontal="left" vertical="top"/>
    </xf>
    <xf numFmtId="0" fontId="49" fillId="0" borderId="73" xfId="0" applyFont="1" applyBorder="1" applyAlignment="1">
      <alignment horizontal="left" vertical="center"/>
    </xf>
    <xf numFmtId="0" fontId="49" fillId="0" borderId="73" xfId="0" applyFont="1" applyBorder="1" applyAlignment="1">
      <alignment vertical="center"/>
    </xf>
    <xf numFmtId="0" fontId="39" fillId="25" borderId="0" xfId="0" applyFont="1" applyFill="1"/>
    <xf numFmtId="0" fontId="59" fillId="25" borderId="0" xfId="0" applyFont="1" applyFill="1" applyAlignment="1">
      <alignment horizontal="center" vertical="center"/>
    </xf>
    <xf numFmtId="0" fontId="56" fillId="25" borderId="0" xfId="0" applyFont="1" applyFill="1" applyAlignment="1">
      <alignment horizontal="center"/>
    </xf>
    <xf numFmtId="0" fontId="44" fillId="25" borderId="0" xfId="0" applyFont="1" applyFill="1"/>
    <xf numFmtId="0" fontId="40" fillId="0" borderId="0" xfId="0" applyFont="1" applyAlignment="1">
      <alignment horizontal="center" vertical="center"/>
    </xf>
    <xf numFmtId="0" fontId="49" fillId="0" borderId="0" xfId="0" applyFont="1" applyAlignment="1">
      <alignment horizontal="left" vertical="center"/>
    </xf>
    <xf numFmtId="0" fontId="39" fillId="0" borderId="0" xfId="0" applyFont="1" applyAlignment="1">
      <alignment vertical="top" wrapText="1"/>
    </xf>
    <xf numFmtId="0" fontId="39" fillId="0" borderId="0" xfId="0" applyFont="1" applyAlignment="1">
      <alignment vertical="top"/>
    </xf>
    <xf numFmtId="0" fontId="39" fillId="0" borderId="0" xfId="0" quotePrefix="1" applyFont="1" applyAlignment="1">
      <alignment vertical="top"/>
    </xf>
    <xf numFmtId="0" fontId="55" fillId="0" borderId="0" xfId="0" applyFont="1"/>
    <xf numFmtId="0" fontId="39" fillId="0" borderId="0" xfId="0" applyFont="1"/>
    <xf numFmtId="0" fontId="32" fillId="0" borderId="61" xfId="0" applyFont="1" applyBorder="1" applyAlignment="1">
      <alignment horizontal="center"/>
    </xf>
    <xf numFmtId="0" fontId="32" fillId="0" borderId="62" xfId="0" applyFont="1" applyBorder="1" applyAlignment="1">
      <alignment horizontal="center"/>
    </xf>
    <xf numFmtId="0" fontId="32" fillId="0" borderId="56" xfId="0" applyFont="1" applyBorder="1"/>
    <xf numFmtId="0" fontId="34" fillId="17" borderId="78" xfId="3" applyFont="1" applyBorder="1" applyAlignment="1">
      <alignment horizontal="center" vertical="center" wrapText="1"/>
    </xf>
    <xf numFmtId="0" fontId="46" fillId="5" borderId="76" xfId="3" applyFont="1" applyFill="1" applyBorder="1" applyAlignment="1">
      <alignment horizontal="center" vertical="center" wrapText="1"/>
    </xf>
    <xf numFmtId="0" fontId="27" fillId="23" borderId="0" xfId="2" applyFont="1" applyFill="1" applyAlignment="1">
      <alignment horizontal="right" vertical="center" wrapText="1"/>
    </xf>
    <xf numFmtId="0" fontId="47" fillId="0" borderId="0" xfId="0" applyFont="1" applyAlignment="1">
      <alignment horizontal="left" vertical="center"/>
    </xf>
    <xf numFmtId="0" fontId="61" fillId="0" borderId="0" xfId="0" applyFont="1"/>
    <xf numFmtId="0" fontId="40" fillId="0" borderId="3" xfId="0" applyFont="1" applyBorder="1" applyAlignment="1">
      <alignment vertical="center"/>
    </xf>
    <xf numFmtId="0" fontId="39" fillId="0" borderId="0" xfId="0" applyFont="1" applyAlignment="1">
      <alignment vertical="center"/>
    </xf>
    <xf numFmtId="0" fontId="39" fillId="0" borderId="0" xfId="0" applyFont="1" applyAlignment="1">
      <alignment horizontal="left"/>
    </xf>
    <xf numFmtId="0" fontId="39" fillId="26" borderId="0" xfId="0" applyFont="1" applyFill="1" applyAlignment="1">
      <alignment wrapText="1"/>
    </xf>
    <xf numFmtId="0" fontId="61" fillId="26" borderId="0" xfId="0" applyFont="1" applyFill="1" applyAlignment="1">
      <alignment horizontal="left" vertical="center"/>
    </xf>
    <xf numFmtId="0" fontId="49" fillId="26" borderId="0" xfId="0" applyFont="1" applyFill="1" applyAlignment="1">
      <alignment horizontal="left" vertical="center"/>
    </xf>
    <xf numFmtId="0" fontId="49" fillId="26" borderId="0" xfId="0" applyFont="1" applyFill="1" applyAlignment="1">
      <alignment horizontal="left" vertical="center" wrapText="1"/>
    </xf>
    <xf numFmtId="0" fontId="40" fillId="26" borderId="0" xfId="0" applyFont="1" applyFill="1" applyAlignment="1">
      <alignment horizontal="left" vertical="center"/>
    </xf>
    <xf numFmtId="0" fontId="40" fillId="26" borderId="0" xfId="0" applyFont="1" applyFill="1" applyAlignment="1">
      <alignment horizontal="center" vertical="center"/>
    </xf>
    <xf numFmtId="0" fontId="47" fillId="26" borderId="0" xfId="0" applyFont="1" applyFill="1" applyAlignment="1">
      <alignment horizontal="left" vertical="center"/>
    </xf>
    <xf numFmtId="0" fontId="40" fillId="0" borderId="0" xfId="0" applyFont="1" applyAlignment="1">
      <alignment horizontal="left" vertical="top"/>
    </xf>
    <xf numFmtId="0" fontId="62" fillId="0" borderId="0" xfId="0" applyFont="1"/>
    <xf numFmtId="0" fontId="46" fillId="0" borderId="0" xfId="0" applyFont="1" applyAlignment="1">
      <alignment wrapText="1"/>
    </xf>
    <xf numFmtId="0" fontId="46" fillId="0" borderId="0" xfId="0" applyFont="1"/>
    <xf numFmtId="0" fontId="48" fillId="0" borderId="0" xfId="0" applyFont="1" applyAlignment="1">
      <alignment horizontal="left" vertical="top" wrapText="1"/>
    </xf>
    <xf numFmtId="0" fontId="47" fillId="27" borderId="0" xfId="0" applyFont="1" applyFill="1" applyAlignment="1">
      <alignment horizontal="left" vertical="center"/>
    </xf>
    <xf numFmtId="0" fontId="47" fillId="28" borderId="0" xfId="0" applyFont="1" applyFill="1" applyAlignment="1">
      <alignment horizontal="left" vertical="center"/>
    </xf>
    <xf numFmtId="0" fontId="58" fillId="27" borderId="0" xfId="6" applyFill="1" applyAlignment="1">
      <alignment vertical="top"/>
    </xf>
    <xf numFmtId="0" fontId="58" fillId="28" borderId="0" xfId="6" applyFill="1" applyAlignment="1">
      <alignment vertical="top"/>
    </xf>
    <xf numFmtId="0" fontId="60" fillId="0" borderId="0" xfId="0" applyFont="1" applyAlignment="1">
      <alignment horizontal="center" vertical="center" wrapText="1"/>
    </xf>
    <xf numFmtId="0" fontId="63" fillId="0" borderId="0" xfId="6" applyFont="1" applyAlignment="1"/>
    <xf numFmtId="0" fontId="64" fillId="0" borderId="0" xfId="6" applyFont="1" applyAlignment="1"/>
    <xf numFmtId="0" fontId="65" fillId="0" borderId="0" xfId="0" applyFont="1"/>
    <xf numFmtId="0" fontId="57" fillId="0" borderId="0" xfId="0" applyFont="1" applyAlignment="1">
      <alignment wrapText="1"/>
    </xf>
    <xf numFmtId="0" fontId="48" fillId="0" borderId="0" xfId="0" applyFont="1" applyAlignment="1">
      <alignment horizontal="left"/>
    </xf>
    <xf numFmtId="0" fontId="40" fillId="0" borderId="3" xfId="0" applyFont="1" applyBorder="1" applyAlignment="1">
      <alignment horizontal="center" vertical="center"/>
    </xf>
    <xf numFmtId="0" fontId="66" fillId="13" borderId="0" xfId="0" applyFont="1" applyFill="1" applyAlignment="1">
      <alignment wrapText="1"/>
    </xf>
    <xf numFmtId="0" fontId="66" fillId="0" borderId="0" xfId="0" applyFont="1" applyAlignment="1">
      <alignment vertical="top"/>
    </xf>
    <xf numFmtId="0" fontId="67" fillId="0" borderId="0" xfId="6" applyFont="1" applyAlignment="1"/>
    <xf numFmtId="0" fontId="68" fillId="0" borderId="0" xfId="6" applyFont="1" applyAlignment="1"/>
    <xf numFmtId="0" fontId="70" fillId="0" borderId="0" xfId="6" applyFont="1" applyAlignment="1"/>
    <xf numFmtId="0" fontId="68" fillId="0" borderId="0" xfId="6" applyFont="1" applyBorder="1" applyAlignment="1">
      <alignment horizontal="left" vertical="center"/>
    </xf>
    <xf numFmtId="0" fontId="67" fillId="0" borderId="0" xfId="6" applyFont="1" applyAlignment="1">
      <alignment vertical="center"/>
    </xf>
    <xf numFmtId="0" fontId="71" fillId="0" borderId="0" xfId="6" applyFont="1" applyAlignment="1">
      <alignment horizontal="left"/>
    </xf>
    <xf numFmtId="0" fontId="22" fillId="0" borderId="0" xfId="0" applyFont="1" applyAlignment="1">
      <alignment horizontal="left" wrapText="1"/>
    </xf>
    <xf numFmtId="0" fontId="68" fillId="0" borderId="0" xfId="6" applyFont="1" applyAlignment="1">
      <alignment horizontal="left"/>
    </xf>
    <xf numFmtId="0" fontId="72" fillId="21" borderId="76" xfId="0" applyFont="1" applyFill="1" applyBorder="1" applyAlignment="1">
      <alignment horizontal="center" vertical="center"/>
    </xf>
    <xf numFmtId="0" fontId="58" fillId="18" borderId="76" xfId="6" applyFill="1" applyBorder="1" applyAlignment="1">
      <alignment horizontal="center" vertical="center" wrapText="1"/>
    </xf>
    <xf numFmtId="0" fontId="19" fillId="0" borderId="0" xfId="0" applyFont="1" applyAlignment="1">
      <alignment vertical="center" wrapText="1"/>
    </xf>
    <xf numFmtId="0" fontId="17" fillId="0" borderId="0" xfId="2" applyFont="1" applyAlignment="1">
      <alignment horizontal="left" vertical="center" wrapText="1"/>
    </xf>
    <xf numFmtId="0" fontId="58" fillId="8" borderId="76" xfId="6" applyFill="1" applyBorder="1" applyAlignment="1">
      <alignment horizontal="center" vertical="center" wrapText="1"/>
    </xf>
    <xf numFmtId="0" fontId="32" fillId="0" borderId="61" xfId="0" applyFont="1" applyBorder="1" applyAlignment="1">
      <alignment horizontal="center" vertical="center"/>
    </xf>
    <xf numFmtId="0" fontId="32" fillId="0" borderId="62" xfId="0" applyFont="1" applyBorder="1" applyAlignment="1">
      <alignment horizontal="center" vertical="center"/>
    </xf>
    <xf numFmtId="0" fontId="35" fillId="0" borderId="74" xfId="3" applyFont="1" applyFill="1" applyBorder="1" applyAlignment="1">
      <alignment horizontal="center" vertical="center" wrapText="1"/>
    </xf>
    <xf numFmtId="0" fontId="35" fillId="0" borderId="74" xfId="3" applyFont="1" applyFill="1" applyBorder="1" applyAlignment="1">
      <alignment vertical="center" wrapText="1"/>
    </xf>
    <xf numFmtId="14" fontId="35" fillId="0" borderId="74" xfId="3" applyNumberFormat="1" applyFont="1" applyFill="1" applyBorder="1" applyAlignment="1">
      <alignment horizontal="center" vertical="center" wrapText="1"/>
    </xf>
    <xf numFmtId="14" fontId="35" fillId="5" borderId="75" xfId="3" applyNumberFormat="1" applyFont="1" applyFill="1" applyBorder="1" applyAlignment="1">
      <alignment horizontal="center" vertical="center" wrapText="1"/>
    </xf>
    <xf numFmtId="0" fontId="35" fillId="0" borderId="74" xfId="6" applyFont="1" applyFill="1" applyBorder="1" applyAlignment="1">
      <alignment horizontal="left" vertical="center" wrapText="1"/>
    </xf>
    <xf numFmtId="166" fontId="35" fillId="0" borderId="74" xfId="0" applyNumberFormat="1" applyFont="1" applyBorder="1" applyAlignment="1">
      <alignment horizontal="left" vertical="center" wrapText="1"/>
    </xf>
    <xf numFmtId="14" fontId="35" fillId="0" borderId="74" xfId="3" applyNumberFormat="1" applyFont="1" applyFill="1" applyBorder="1" applyAlignment="1">
      <alignment horizontal="left" vertical="center" wrapText="1"/>
    </xf>
    <xf numFmtId="0" fontId="35" fillId="0" borderId="74" xfId="3" applyFont="1" applyFill="1" applyBorder="1" applyAlignment="1">
      <alignment horizontal="left" vertical="center" wrapText="1"/>
    </xf>
    <xf numFmtId="9" fontId="35" fillId="0" borderId="74" xfId="6" applyNumberFormat="1" applyFont="1" applyFill="1" applyBorder="1" applyAlignment="1">
      <alignment horizontal="left" vertical="center" wrapText="1"/>
    </xf>
    <xf numFmtId="0" fontId="17" fillId="0" borderId="74" xfId="3" applyFont="1" applyFill="1" applyBorder="1" applyAlignment="1">
      <alignment vertical="center" wrapText="1"/>
    </xf>
    <xf numFmtId="0" fontId="21" fillId="7" borderId="62" xfId="0" applyFont="1" applyFill="1" applyBorder="1" applyAlignment="1">
      <alignment horizontal="center"/>
    </xf>
    <xf numFmtId="0" fontId="17" fillId="8" borderId="35" xfId="2" applyFont="1" applyFill="1" applyBorder="1" applyAlignment="1">
      <alignment horizontal="center" vertical="top" wrapText="1"/>
    </xf>
    <xf numFmtId="0" fontId="17" fillId="8" borderId="42" xfId="2" applyFont="1" applyFill="1" applyBorder="1" applyAlignment="1">
      <alignment horizontal="center" vertical="top" wrapText="1"/>
    </xf>
    <xf numFmtId="0" fontId="17" fillId="0" borderId="18" xfId="2" applyFont="1" applyBorder="1" applyAlignment="1">
      <alignment horizontal="center" vertical="center" wrapText="1"/>
    </xf>
    <xf numFmtId="0" fontId="17" fillId="0" borderId="21" xfId="2" applyFont="1" applyBorder="1" applyAlignment="1">
      <alignment horizontal="center" vertical="center" wrapText="1"/>
    </xf>
    <xf numFmtId="0" fontId="17" fillId="8" borderId="32" xfId="2" applyFont="1" applyFill="1" applyBorder="1" applyAlignment="1">
      <alignment horizontal="center" vertical="center" textRotation="90" wrapText="1"/>
    </xf>
    <xf numFmtId="0" fontId="17" fillId="8" borderId="39" xfId="2" applyFont="1" applyFill="1" applyBorder="1" applyAlignment="1">
      <alignment horizontal="center" vertical="center" textRotation="90" wrapText="1"/>
    </xf>
    <xf numFmtId="0" fontId="17" fillId="8" borderId="34" xfId="2" applyFont="1" applyFill="1" applyBorder="1" applyAlignment="1">
      <alignment horizontal="center" vertical="center" textRotation="90" wrapText="1"/>
    </xf>
    <xf numFmtId="0" fontId="17" fillId="8" borderId="41" xfId="2" applyFont="1" applyFill="1" applyBorder="1" applyAlignment="1">
      <alignment horizontal="center" vertical="center" textRotation="90" wrapText="1"/>
    </xf>
    <xf numFmtId="0" fontId="17" fillId="8" borderId="33" xfId="2" applyFont="1" applyFill="1" applyBorder="1" applyAlignment="1">
      <alignment horizontal="center" vertical="center" textRotation="90" wrapText="1"/>
    </xf>
    <xf numFmtId="0" fontId="17" fillId="8" borderId="40" xfId="2" applyFont="1" applyFill="1" applyBorder="1" applyAlignment="1">
      <alignment horizontal="center" vertical="center" textRotation="90" wrapText="1"/>
    </xf>
    <xf numFmtId="0" fontId="17" fillId="8" borderId="35" xfId="2" applyFont="1" applyFill="1" applyBorder="1" applyAlignment="1">
      <alignment horizontal="center" vertical="center" textRotation="255" wrapText="1"/>
    </xf>
    <xf numFmtId="0" fontId="17" fillId="8" borderId="42" xfId="2" applyFont="1" applyFill="1" applyBorder="1" applyAlignment="1">
      <alignment horizontal="center" vertical="center" textRotation="255" wrapText="1"/>
    </xf>
    <xf numFmtId="0" fontId="17" fillId="8" borderId="34" xfId="2" applyFont="1" applyFill="1" applyBorder="1" applyAlignment="1">
      <alignment horizontal="left" vertical="top" wrapText="1"/>
    </xf>
    <xf numFmtId="0" fontId="17" fillId="8" borderId="41" xfId="2" applyFont="1" applyFill="1" applyBorder="1" applyAlignment="1">
      <alignment horizontal="left" vertical="top" wrapText="1"/>
    </xf>
    <xf numFmtId="0" fontId="17" fillId="6" borderId="3" xfId="2" applyFont="1" applyFill="1" applyBorder="1" applyAlignment="1">
      <alignment horizontal="center" vertical="top" wrapText="1"/>
    </xf>
    <xf numFmtId="0" fontId="22" fillId="0" borderId="6" xfId="2" applyFont="1" applyBorder="1" applyAlignment="1">
      <alignment horizontal="center" vertical="center" wrapText="1"/>
    </xf>
    <xf numFmtId="0" fontId="22" fillId="0" borderId="8" xfId="2" applyFont="1" applyBorder="1" applyAlignment="1">
      <alignment horizontal="center" vertical="center" wrapText="1"/>
    </xf>
    <xf numFmtId="0" fontId="17" fillId="8" borderId="24" xfId="2" applyFont="1" applyFill="1" applyBorder="1" applyAlignment="1">
      <alignment horizontal="center" vertical="top" wrapText="1"/>
    </xf>
    <xf numFmtId="0" fontId="17" fillId="8" borderId="63" xfId="2" applyFont="1" applyFill="1" applyBorder="1" applyAlignment="1">
      <alignment horizontal="center" vertical="top" wrapText="1"/>
    </xf>
    <xf numFmtId="0" fontId="17" fillId="8" borderId="32" xfId="2" applyFont="1" applyFill="1" applyBorder="1" applyAlignment="1">
      <alignment horizontal="center" vertical="top" wrapText="1"/>
    </xf>
    <xf numFmtId="0" fontId="17" fillId="8" borderId="39" xfId="2" applyFont="1" applyFill="1" applyBorder="1" applyAlignment="1">
      <alignment horizontal="center" vertical="top" wrapText="1"/>
    </xf>
    <xf numFmtId="0" fontId="17" fillId="8" borderId="33" xfId="2" applyFont="1" applyFill="1" applyBorder="1" applyAlignment="1">
      <alignment horizontal="center" vertical="top" wrapText="1"/>
    </xf>
    <xf numFmtId="0" fontId="17" fillId="8" borderId="40" xfId="2" applyFont="1" applyFill="1" applyBorder="1" applyAlignment="1">
      <alignment horizontal="center" vertical="top" wrapText="1"/>
    </xf>
    <xf numFmtId="0" fontId="17" fillId="8" borderId="34" xfId="2" applyFont="1" applyFill="1" applyBorder="1" applyAlignment="1">
      <alignment horizontal="center" vertical="top" wrapText="1"/>
    </xf>
    <xf numFmtId="0" fontId="17" fillId="8" borderId="41" xfId="2" applyFont="1" applyFill="1" applyBorder="1" applyAlignment="1">
      <alignment horizontal="center" vertical="top" wrapText="1"/>
    </xf>
    <xf numFmtId="0" fontId="17" fillId="8" borderId="35" xfId="2" applyFont="1" applyFill="1" applyBorder="1" applyAlignment="1">
      <alignment horizontal="left" vertical="top" wrapText="1"/>
    </xf>
    <xf numFmtId="0" fontId="17" fillId="8" borderId="42" xfId="2" applyFont="1" applyFill="1" applyBorder="1" applyAlignment="1">
      <alignment horizontal="left" vertical="top" wrapText="1"/>
    </xf>
    <xf numFmtId="0" fontId="17" fillId="8" borderId="36" xfId="2" applyFont="1" applyFill="1" applyBorder="1" applyAlignment="1">
      <alignment horizontal="center" vertical="top" wrapText="1"/>
    </xf>
    <xf numFmtId="0" fontId="17" fillId="8" borderId="43" xfId="2" applyFont="1" applyFill="1" applyBorder="1" applyAlignment="1">
      <alignment horizontal="center" vertical="top" wrapText="1"/>
    </xf>
    <xf numFmtId="0" fontId="17" fillId="8" borderId="36" xfId="2" applyFont="1" applyFill="1" applyBorder="1" applyAlignment="1">
      <alignment horizontal="left" vertical="top" wrapText="1"/>
    </xf>
    <xf numFmtId="0" fontId="17" fillId="8" borderId="43" xfId="2" applyFont="1" applyFill="1" applyBorder="1" applyAlignment="1">
      <alignment horizontal="left" vertical="top" wrapText="1"/>
    </xf>
    <xf numFmtId="0" fontId="17" fillId="8" borderId="32" xfId="2" applyFont="1" applyFill="1" applyBorder="1" applyAlignment="1">
      <alignment horizontal="left" vertical="top" wrapText="1"/>
    </xf>
    <xf numFmtId="0" fontId="17" fillId="8" borderId="39" xfId="2" applyFont="1" applyFill="1" applyBorder="1" applyAlignment="1">
      <alignment horizontal="left" vertical="top" wrapText="1"/>
    </xf>
    <xf numFmtId="0" fontId="17" fillId="8" borderId="34" xfId="2" quotePrefix="1" applyFont="1" applyFill="1" applyBorder="1" applyAlignment="1">
      <alignment horizontal="center" vertical="top" wrapText="1"/>
    </xf>
    <xf numFmtId="0" fontId="17" fillId="8" borderId="41" xfId="2" quotePrefix="1" applyFont="1" applyFill="1" applyBorder="1" applyAlignment="1">
      <alignment horizontal="center" vertical="top" wrapText="1"/>
    </xf>
    <xf numFmtId="0" fontId="17" fillId="8" borderId="35" xfId="2" applyFont="1" applyFill="1" applyBorder="1" applyAlignment="1">
      <alignment horizontal="center" vertical="center" textRotation="90" wrapText="1"/>
    </xf>
    <xf numFmtId="0" fontId="17" fillId="8" borderId="42" xfId="2" applyFont="1" applyFill="1" applyBorder="1" applyAlignment="1">
      <alignment horizontal="center" vertical="center" textRotation="90" wrapText="1"/>
    </xf>
    <xf numFmtId="0" fontId="2" fillId="3" borderId="3" xfId="2" applyFont="1" applyFill="1" applyBorder="1" applyAlignment="1">
      <alignment horizontal="center" vertical="top" wrapText="1"/>
    </xf>
    <xf numFmtId="0" fontId="2" fillId="4" borderId="3" xfId="2" applyFont="1" applyFill="1" applyBorder="1" applyAlignment="1">
      <alignment horizontal="center" vertical="top" wrapText="1"/>
    </xf>
    <xf numFmtId="0" fontId="17" fillId="5" borderId="3" xfId="2" applyFont="1" applyFill="1" applyBorder="1" applyAlignment="1">
      <alignment horizontal="center" vertical="top" wrapText="1"/>
    </xf>
    <xf numFmtId="0" fontId="39" fillId="0" borderId="0" xfId="0" applyFont="1" applyAlignment="1">
      <alignment horizontal="left" vertical="top" wrapText="1"/>
    </xf>
    <xf numFmtId="0" fontId="61" fillId="26" borderId="0" xfId="0" applyFont="1" applyFill="1" applyAlignment="1">
      <alignment horizontal="center" vertical="center"/>
    </xf>
    <xf numFmtId="0" fontId="69" fillId="13" borderId="0" xfId="0" applyFont="1" applyFill="1" applyAlignment="1">
      <alignment horizontal="left" wrapText="1"/>
    </xf>
    <xf numFmtId="0" fontId="59" fillId="25" borderId="0" xfId="0" applyFont="1" applyFill="1" applyAlignment="1">
      <alignment horizontal="center" vertical="center"/>
    </xf>
    <xf numFmtId="0" fontId="45" fillId="0" borderId="0" xfId="0" applyFont="1" applyAlignment="1">
      <alignment horizontal="center" wrapText="1"/>
    </xf>
    <xf numFmtId="0" fontId="47" fillId="0" borderId="20" xfId="0" applyFont="1" applyBorder="1" applyAlignment="1">
      <alignment horizontal="center" vertical="center"/>
    </xf>
    <xf numFmtId="0" fontId="60" fillId="25" borderId="0" xfId="0" applyFont="1" applyFill="1" applyAlignment="1">
      <alignment horizontal="center" vertical="center" wrapText="1"/>
    </xf>
    <xf numFmtId="0" fontId="43" fillId="0" borderId="0" xfId="0" applyFont="1" applyAlignment="1">
      <alignment horizontal="left"/>
    </xf>
    <xf numFmtId="0" fontId="53" fillId="0" borderId="0" xfId="0" applyFont="1" applyAlignment="1">
      <alignment horizontal="left" wrapText="1"/>
    </xf>
    <xf numFmtId="0" fontId="40" fillId="0" borderId="0" xfId="0" applyFont="1" applyAlignment="1">
      <alignment horizontal="left" wrapText="1"/>
    </xf>
    <xf numFmtId="0" fontId="40" fillId="0" borderId="0" xfId="0" applyFont="1"/>
    <xf numFmtId="0" fontId="40" fillId="0" borderId="0" xfId="0" applyFont="1" applyAlignment="1">
      <alignment horizontal="left"/>
    </xf>
    <xf numFmtId="0" fontId="25" fillId="0" borderId="0" xfId="2" applyFont="1" applyAlignment="1">
      <alignment horizontal="left" vertical="center"/>
    </xf>
    <xf numFmtId="0" fontId="29" fillId="18" borderId="76" xfId="3" applyFont="1" applyFill="1" applyBorder="1" applyAlignment="1">
      <alignment horizontal="center" vertical="top"/>
    </xf>
    <xf numFmtId="0" fontId="30" fillId="8" borderId="76" xfId="3" applyFont="1" applyFill="1" applyBorder="1" applyAlignment="1">
      <alignment horizontal="center" vertical="top"/>
    </xf>
    <xf numFmtId="0" fontId="27" fillId="23" borderId="77" xfId="2" applyFont="1" applyFill="1" applyBorder="1" applyAlignment="1">
      <alignment horizontal="left" vertical="center" wrapText="1"/>
    </xf>
    <xf numFmtId="0" fontId="27" fillId="23" borderId="0" xfId="2" applyFont="1" applyFill="1" applyAlignment="1">
      <alignment horizontal="left" vertical="center" wrapText="1"/>
    </xf>
    <xf numFmtId="0" fontId="28" fillId="22" borderId="81" xfId="0" applyFont="1" applyFill="1" applyBorder="1" applyAlignment="1">
      <alignment horizontal="center" vertical="center"/>
    </xf>
    <xf numFmtId="0" fontId="28" fillId="22" borderId="82" xfId="0" applyFont="1" applyFill="1" applyBorder="1" applyAlignment="1">
      <alignment horizontal="center" vertical="center"/>
    </xf>
    <xf numFmtId="0" fontId="28" fillId="22" borderId="83" xfId="0" applyFont="1" applyFill="1" applyBorder="1" applyAlignment="1">
      <alignment horizontal="center" vertical="center"/>
    </xf>
    <xf numFmtId="0" fontId="46" fillId="5" borderId="79" xfId="0" applyFont="1" applyFill="1" applyBorder="1" applyAlignment="1">
      <alignment horizontal="center" vertical="center"/>
    </xf>
    <xf numFmtId="0" fontId="46" fillId="5" borderId="80" xfId="0" applyFont="1" applyFill="1" applyBorder="1" applyAlignment="1">
      <alignment horizontal="center" vertical="center"/>
    </xf>
    <xf numFmtId="0" fontId="27" fillId="23" borderId="77" xfId="2" applyFont="1" applyFill="1" applyBorder="1" applyAlignment="1">
      <alignment horizontal="left" vertical="center"/>
    </xf>
    <xf numFmtId="0" fontId="27" fillId="23" borderId="0" xfId="2" applyFont="1" applyFill="1" applyAlignment="1">
      <alignment horizontal="left" vertical="center"/>
    </xf>
    <xf numFmtId="0" fontId="32" fillId="0" borderId="24" xfId="0" applyFont="1" applyBorder="1" applyAlignment="1">
      <alignment horizontal="center"/>
    </xf>
    <xf numFmtId="0" fontId="32" fillId="0" borderId="26" xfId="0" applyFont="1" applyBorder="1" applyAlignment="1">
      <alignment horizontal="center"/>
    </xf>
    <xf numFmtId="0" fontId="32" fillId="0" borderId="6" xfId="0" applyFont="1" applyBorder="1" applyAlignment="1">
      <alignment horizontal="center"/>
    </xf>
    <xf numFmtId="0" fontId="32" fillId="0" borderId="8" xfId="0" applyFont="1" applyBorder="1" applyAlignment="1">
      <alignment horizontal="center"/>
    </xf>
    <xf numFmtId="0" fontId="38" fillId="24" borderId="0" xfId="0" applyFont="1" applyFill="1" applyAlignment="1">
      <alignment horizontal="center" vertical="center"/>
    </xf>
    <xf numFmtId="0" fontId="52" fillId="7" borderId="6" xfId="2" applyFont="1" applyFill="1" applyBorder="1" applyAlignment="1">
      <alignment horizontal="center" vertical="center" wrapText="1"/>
    </xf>
    <xf numFmtId="0" fontId="52" fillId="7" borderId="7" xfId="2" applyFont="1" applyFill="1" applyBorder="1" applyAlignment="1">
      <alignment horizontal="center" vertical="center" wrapText="1"/>
    </xf>
    <xf numFmtId="0" fontId="52" fillId="7" borderId="8" xfId="2" applyFont="1" applyFill="1" applyBorder="1" applyAlignment="1">
      <alignment horizontal="center" vertical="center" wrapText="1"/>
    </xf>
    <xf numFmtId="0" fontId="52" fillId="7" borderId="31" xfId="2" applyFont="1" applyFill="1" applyBorder="1" applyAlignment="1">
      <alignment horizontal="center" vertical="center" wrapText="1"/>
    </xf>
    <xf numFmtId="0" fontId="22" fillId="15" borderId="50" xfId="2" applyFont="1" applyFill="1" applyBorder="1" applyAlignment="1">
      <alignment horizontal="center" vertical="center" textRotation="90"/>
    </xf>
    <xf numFmtId="0" fontId="22" fillId="15" borderId="52" xfId="2" applyFont="1" applyFill="1" applyBorder="1" applyAlignment="1">
      <alignment horizontal="center" vertical="center" textRotation="90"/>
    </xf>
    <xf numFmtId="0" fontId="22" fillId="15" borderId="47" xfId="2" applyFont="1" applyFill="1" applyBorder="1" applyAlignment="1">
      <alignment horizontal="center" vertical="center" textRotation="90"/>
    </xf>
    <xf numFmtId="0" fontId="3" fillId="0" borderId="3" xfId="2" applyFont="1" applyBorder="1" applyAlignment="1">
      <alignment horizontal="center"/>
    </xf>
    <xf numFmtId="0" fontId="4" fillId="0" borderId="18" xfId="2" applyBorder="1" applyAlignment="1" applyProtection="1">
      <alignment horizontal="left" vertical="top" wrapText="1"/>
      <protection locked="0"/>
    </xf>
    <xf numFmtId="0" fontId="4" fillId="0" borderId="20" xfId="2" applyBorder="1" applyAlignment="1" applyProtection="1">
      <alignment horizontal="left" vertical="top"/>
      <protection locked="0"/>
    </xf>
    <xf numFmtId="0" fontId="4" fillId="0" borderId="19" xfId="2" applyBorder="1" applyAlignment="1" applyProtection="1">
      <alignment horizontal="left" vertical="top"/>
      <protection locked="0"/>
    </xf>
    <xf numFmtId="0" fontId="4" fillId="0" borderId="21" xfId="2" applyBorder="1" applyAlignment="1" applyProtection="1">
      <alignment horizontal="left" vertical="top"/>
      <protection locked="0"/>
    </xf>
    <xf numFmtId="0" fontId="4" fillId="0" borderId="23" xfId="2" applyBorder="1" applyAlignment="1" applyProtection="1">
      <alignment horizontal="left" vertical="top"/>
      <protection locked="0"/>
    </xf>
    <xf numFmtId="0" fontId="4" fillId="0" borderId="22" xfId="2" applyBorder="1" applyAlignment="1" applyProtection="1">
      <alignment horizontal="left" vertical="top"/>
      <protection locked="0"/>
    </xf>
    <xf numFmtId="0" fontId="4" fillId="0" borderId="4" xfId="2" applyBorder="1" applyAlignment="1" applyProtection="1">
      <alignment horizontal="center" vertical="center" wrapText="1"/>
      <protection locked="0"/>
    </xf>
    <xf numFmtId="0" fontId="2" fillId="5" borderId="3" xfId="2" applyFont="1" applyFill="1" applyBorder="1" applyAlignment="1">
      <alignment horizontal="center" vertical="top" wrapText="1"/>
    </xf>
    <xf numFmtId="14" fontId="4" fillId="0" borderId="4" xfId="2" applyNumberFormat="1" applyBorder="1" applyAlignment="1" applyProtection="1">
      <alignment horizontal="center" vertical="center"/>
      <protection locked="0"/>
    </xf>
    <xf numFmtId="0" fontId="2" fillId="6" borderId="3" xfId="2" applyFont="1" applyFill="1" applyBorder="1" applyAlignment="1">
      <alignment horizontal="center" vertical="top" wrapText="1"/>
    </xf>
    <xf numFmtId="0" fontId="4" fillId="8" borderId="32" xfId="2" applyFill="1" applyBorder="1" applyAlignment="1">
      <alignment horizontal="center" vertical="center" textRotation="90" wrapText="1"/>
    </xf>
    <xf numFmtId="0" fontId="4" fillId="8" borderId="39" xfId="2" applyFill="1" applyBorder="1" applyAlignment="1">
      <alignment horizontal="center" vertical="center" textRotation="90" wrapText="1"/>
    </xf>
    <xf numFmtId="0" fontId="4" fillId="8" borderId="5" xfId="2" applyFill="1" applyBorder="1" applyAlignment="1">
      <alignment horizontal="center" vertical="top" wrapText="1"/>
    </xf>
    <xf numFmtId="0" fontId="4" fillId="8" borderId="53" xfId="2" applyFill="1" applyBorder="1" applyAlignment="1">
      <alignment horizontal="center" vertical="top" wrapText="1"/>
    </xf>
    <xf numFmtId="0" fontId="4" fillId="8" borderId="34" xfId="2" applyFill="1" applyBorder="1" applyAlignment="1">
      <alignment horizontal="center" vertical="top" wrapText="1"/>
    </xf>
    <xf numFmtId="0" fontId="4" fillId="8" borderId="41" xfId="2" applyFill="1" applyBorder="1" applyAlignment="1">
      <alignment horizontal="center" vertical="top" wrapText="1"/>
    </xf>
    <xf numFmtId="0" fontId="4" fillId="8" borderId="35" xfId="2" applyFill="1" applyBorder="1" applyAlignment="1">
      <alignment horizontal="left" vertical="top" wrapText="1"/>
    </xf>
    <xf numFmtId="0" fontId="4" fillId="8" borderId="42" xfId="2" applyFill="1" applyBorder="1" applyAlignment="1">
      <alignment horizontal="left" vertical="top" wrapText="1"/>
    </xf>
    <xf numFmtId="0" fontId="4" fillId="8" borderId="36" xfId="2" applyFill="1" applyBorder="1" applyAlignment="1">
      <alignment horizontal="center" vertical="top" wrapText="1"/>
    </xf>
    <xf numFmtId="0" fontId="4" fillId="8" borderId="43" xfId="2" applyFill="1" applyBorder="1" applyAlignment="1">
      <alignment horizontal="center" vertical="top" wrapText="1"/>
    </xf>
    <xf numFmtId="0" fontId="4" fillId="8" borderId="36" xfId="2" applyFill="1" applyBorder="1" applyAlignment="1">
      <alignment horizontal="left" vertical="top" wrapText="1"/>
    </xf>
    <xf numFmtId="0" fontId="4" fillId="8" borderId="43" xfId="2" applyFill="1" applyBorder="1" applyAlignment="1">
      <alignment horizontal="left" vertical="top" wrapText="1"/>
    </xf>
    <xf numFmtId="0" fontId="4" fillId="8" borderId="34" xfId="2" applyFill="1" applyBorder="1" applyAlignment="1">
      <alignment horizontal="left" vertical="top" wrapText="1"/>
    </xf>
    <xf numFmtId="0" fontId="4" fillId="8" borderId="41" xfId="2" applyFill="1" applyBorder="1" applyAlignment="1">
      <alignment horizontal="left" vertical="top" wrapText="1"/>
    </xf>
    <xf numFmtId="0" fontId="4" fillId="8" borderId="34" xfId="2" applyFill="1" applyBorder="1" applyAlignment="1">
      <alignment horizontal="center" vertical="center" textRotation="90" wrapText="1"/>
    </xf>
    <xf numFmtId="0" fontId="4" fillId="8" borderId="41" xfId="2" applyFill="1" applyBorder="1" applyAlignment="1">
      <alignment horizontal="center" vertical="center" textRotation="90" wrapText="1"/>
    </xf>
    <xf numFmtId="0" fontId="4" fillId="8" borderId="33" xfId="2" applyFill="1" applyBorder="1" applyAlignment="1">
      <alignment horizontal="center" vertical="center" textRotation="90" wrapText="1"/>
    </xf>
    <xf numFmtId="0" fontId="4" fillId="8" borderId="40" xfId="2" applyFill="1" applyBorder="1" applyAlignment="1">
      <alignment horizontal="center" vertical="center" textRotation="90" wrapText="1"/>
    </xf>
    <xf numFmtId="0" fontId="4" fillId="8" borderId="32" xfId="2" applyFill="1" applyBorder="1" applyAlignment="1">
      <alignment horizontal="left" vertical="top" wrapText="1"/>
    </xf>
    <xf numFmtId="0" fontId="4" fillId="8" borderId="39" xfId="2" applyFill="1" applyBorder="1" applyAlignment="1">
      <alignment horizontal="left" vertical="top" wrapText="1"/>
    </xf>
    <xf numFmtId="0" fontId="4" fillId="8" borderId="34" xfId="2" quotePrefix="1" applyFill="1" applyBorder="1" applyAlignment="1">
      <alignment horizontal="center" vertical="top" wrapText="1"/>
    </xf>
    <xf numFmtId="0" fontId="4" fillId="8" borderId="41" xfId="2" quotePrefix="1" applyFill="1" applyBorder="1" applyAlignment="1">
      <alignment horizontal="center" vertical="top" wrapText="1"/>
    </xf>
    <xf numFmtId="0" fontId="4" fillId="8" borderId="35" xfId="2" applyFill="1" applyBorder="1" applyAlignment="1">
      <alignment horizontal="center" vertical="center" textRotation="90" wrapText="1"/>
    </xf>
    <xf numFmtId="0" fontId="4" fillId="8" borderId="42" xfId="2" applyFill="1" applyBorder="1" applyAlignment="1">
      <alignment horizontal="center" vertical="center" textRotation="90" wrapText="1"/>
    </xf>
    <xf numFmtId="0" fontId="4" fillId="8" borderId="35" xfId="2" applyFill="1" applyBorder="1" applyAlignment="1">
      <alignment horizontal="center" vertical="center" textRotation="255" wrapText="1"/>
    </xf>
    <xf numFmtId="0" fontId="4" fillId="8" borderId="42" xfId="2" applyFill="1" applyBorder="1" applyAlignment="1">
      <alignment horizontal="center" vertical="center" textRotation="255" wrapText="1"/>
    </xf>
    <xf numFmtId="0" fontId="4" fillId="8" borderId="35" xfId="2" applyFill="1" applyBorder="1" applyAlignment="1">
      <alignment horizontal="center" vertical="top" wrapText="1"/>
    </xf>
    <xf numFmtId="0" fontId="4" fillId="8" borderId="42" xfId="2" applyFill="1" applyBorder="1" applyAlignment="1">
      <alignment horizontal="center" vertical="top" wrapText="1"/>
    </xf>
    <xf numFmtId="0" fontId="4" fillId="0" borderId="5" xfId="2" applyBorder="1" applyAlignment="1">
      <alignment horizontal="center" vertical="top" wrapText="1"/>
    </xf>
    <xf numFmtId="0" fontId="4" fillId="0" borderId="56" xfId="2" applyBorder="1" applyAlignment="1">
      <alignment horizontal="center" vertical="top" wrapText="1"/>
    </xf>
    <xf numFmtId="0" fontId="4" fillId="0" borderId="59" xfId="2" applyBorder="1" applyAlignment="1">
      <alignment horizontal="center" vertical="top" wrapText="1"/>
    </xf>
    <xf numFmtId="0" fontId="4" fillId="0" borderId="32" xfId="2" applyBorder="1" applyAlignment="1">
      <alignment horizontal="center" vertical="top" wrapText="1"/>
    </xf>
    <xf numFmtId="0" fontId="4" fillId="0" borderId="57" xfId="2" applyBorder="1" applyAlignment="1">
      <alignment horizontal="center" vertical="top" wrapText="1"/>
    </xf>
    <xf numFmtId="0" fontId="4" fillId="0" borderId="55" xfId="2" applyBorder="1" applyAlignment="1">
      <alignment horizontal="center" vertical="top" wrapText="1"/>
    </xf>
    <xf numFmtId="0" fontId="4" fillId="0" borderId="58" xfId="2" applyBorder="1" applyAlignment="1">
      <alignment horizontal="center" vertical="top" wrapText="1"/>
    </xf>
    <xf numFmtId="0" fontId="7" fillId="15" borderId="50" xfId="2" applyFont="1" applyFill="1" applyBorder="1" applyAlignment="1">
      <alignment horizontal="center" vertical="center" textRotation="90"/>
    </xf>
    <xf numFmtId="0" fontId="7" fillId="15" borderId="52" xfId="2" applyFont="1" applyFill="1" applyBorder="1" applyAlignment="1">
      <alignment horizontal="center" vertical="center" textRotation="90"/>
    </xf>
    <xf numFmtId="0" fontId="7" fillId="15" borderId="47" xfId="2" applyFont="1" applyFill="1" applyBorder="1" applyAlignment="1">
      <alignment horizontal="center" vertical="center" textRotation="90"/>
    </xf>
  </cellXfs>
  <cellStyles count="7">
    <cellStyle name="Hyperlink" xfId="5" xr:uid="{00000000-000B-0000-0000-000008000000}"/>
    <cellStyle name="Lien hypertexte" xfId="6" builtinId="8"/>
    <cellStyle name="Milliers 2" xfId="4" xr:uid="{58277FDA-A2ED-46ED-A947-E54ACEB05815}"/>
    <cellStyle name="Neutre" xfId="3" builtinId="28"/>
    <cellStyle name="Normal" xfId="0" builtinId="0"/>
    <cellStyle name="Normal 2" xfId="2" xr:uid="{65F30BD9-1C8B-4ED8-97A3-D948AEA97CBD}"/>
    <cellStyle name="Normal 3" xfId="1" xr:uid="{50DC0497-33B6-4F4A-86B5-D4001BA0074F}"/>
  </cellStyles>
  <dxfs count="78">
    <dxf>
      <fill>
        <patternFill>
          <bgColor rgb="FFFFFF99"/>
        </patternFill>
      </fill>
    </dxf>
    <dxf>
      <fill>
        <patternFill>
          <bgColor rgb="FFFFC000"/>
        </patternFill>
      </fill>
    </dxf>
    <dxf>
      <fill>
        <patternFill>
          <bgColor rgb="FFFF0000"/>
        </patternFill>
      </fill>
    </dxf>
    <dxf>
      <fill>
        <patternFill>
          <bgColor theme="6" tint="0.59996337778862885"/>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rgb="FFFFFF99"/>
        </patternFill>
      </fill>
    </dxf>
    <dxf>
      <fill>
        <patternFill>
          <bgColor rgb="FFFFC000"/>
        </patternFill>
      </fill>
    </dxf>
    <dxf>
      <fill>
        <patternFill>
          <bgColor rgb="FFFF0000"/>
        </patternFill>
      </fill>
    </dxf>
    <dxf>
      <fill>
        <patternFill>
          <bgColor theme="6" tint="0.59996337778862885"/>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theme="6" tint="0.59996337778862885"/>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bgColor rgb="FFFFFF99"/>
        </patternFill>
      </fill>
    </dxf>
    <dxf>
      <fill>
        <patternFill>
          <bgColor rgb="FFFFC000"/>
        </patternFill>
      </fill>
    </dxf>
    <dxf>
      <fill>
        <patternFill>
          <bgColor rgb="FFFF0000"/>
        </patternFill>
      </fill>
    </dxf>
    <dxf>
      <fill>
        <patternFill>
          <bgColor theme="0"/>
        </patternFill>
      </fill>
    </dxf>
    <dxf>
      <fill>
        <patternFill patternType="solid">
          <fgColor theme="9" tint="0.39991454817346722"/>
          <bgColor theme="9" tint="0.39994506668294322"/>
        </patternFill>
      </fill>
    </dxf>
    <dxf>
      <fill>
        <patternFill>
          <bgColor theme="7" tint="0.39994506668294322"/>
        </patternFill>
      </fill>
    </dxf>
    <dxf>
      <fill>
        <patternFill>
          <bgColor rgb="FFFF0000"/>
        </patternFill>
      </fill>
    </dxf>
    <dxf>
      <font>
        <color theme="0"/>
      </font>
      <fill>
        <patternFill>
          <bgColor theme="1" tint="4.9989318521683403E-2"/>
        </patternFill>
      </fill>
    </dxf>
    <dxf>
      <font>
        <color rgb="FFFFFFFF"/>
      </font>
      <fill>
        <patternFill>
          <bgColor theme="1"/>
        </patternFill>
      </fill>
    </dxf>
    <dxf>
      <fill>
        <patternFill>
          <bgColor theme="9" tint="0.39994506668294322"/>
        </patternFill>
      </fill>
    </dxf>
    <dxf>
      <fill>
        <patternFill>
          <bgColor theme="5" tint="0.39994506668294322"/>
        </patternFill>
      </fill>
    </dxf>
    <dxf>
      <fill>
        <patternFill>
          <bgColor rgb="FFFF0000"/>
        </patternFill>
      </fill>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3" formatCode="0%"/>
      <fill>
        <patternFill patternType="none">
          <fgColor indexed="64"/>
          <bgColor indexed="65"/>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9" formatCode="dd/mm/yyyy"/>
      <fill>
        <patternFill patternType="none">
          <fgColor indexed="64"/>
          <bgColor indexed="65"/>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9" formatCode="dd/mm/yyyy"/>
      <fill>
        <patternFill patternType="none">
          <fgColor indexed="64"/>
          <bgColor auto="1"/>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66" formatCode="_-* #,##0\ _€_-;\-* #,##0\ _€_-;_-* &quot;-&quot;??\ _€_-;_-@_-"/>
      <fill>
        <patternFill patternType="none">
          <fgColor indexed="64"/>
          <bgColor auto="1"/>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numFmt numFmtId="19" formatCode="dd/mm/yyyy"/>
      <alignment horizontal="center" vertical="center" textRotation="0" wrapText="1" indent="0" justifyLastLine="0" shrinkToFit="0" readingOrder="0"/>
      <border diagonalUp="0" diagonalDown="0">
        <left style="thin">
          <color theme="2"/>
        </left>
        <right style="thin">
          <color theme="2"/>
        </right>
        <top/>
        <bottom style="thin">
          <color theme="2"/>
        </bottom>
        <vertical/>
        <horizontal/>
      </border>
    </dxf>
    <dxf>
      <font>
        <b val="0"/>
        <i val="0"/>
        <strike val="0"/>
        <condense val="0"/>
        <extend val="0"/>
        <outline val="0"/>
        <shadow val="0"/>
        <u val="none"/>
        <vertAlign val="baseline"/>
        <sz val="10"/>
        <color theme="1" tint="0.14999847407452621"/>
        <name val="Lato"/>
        <family val="2"/>
        <scheme val="none"/>
      </font>
      <numFmt numFmtId="19" formatCode="dd/mm/yyyy"/>
      <alignment horizontal="center" vertical="center" textRotation="0" wrapText="1" indent="0" justifyLastLine="0" shrinkToFit="0" readingOrder="0"/>
      <border diagonalUp="0" diagonalDown="0">
        <left style="thin">
          <color theme="2"/>
        </left>
        <right style="thin">
          <color theme="2"/>
        </right>
        <top/>
        <bottom style="thin">
          <color theme="2"/>
        </bottom>
        <vertical/>
        <horizontal/>
      </border>
    </dxf>
    <dxf>
      <font>
        <b val="0"/>
        <i val="0"/>
        <strike val="0"/>
        <condense val="0"/>
        <extend val="0"/>
        <outline val="0"/>
        <shadow val="0"/>
        <u val="none"/>
        <vertAlign val="baseline"/>
        <sz val="10"/>
        <color theme="1" tint="0.14999847407452621"/>
        <name val="Lato"/>
        <family val="2"/>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theme="2"/>
        </left>
        <right style="thin">
          <color theme="2"/>
        </right>
        <top style="thin">
          <color theme="2"/>
        </top>
        <bottom style="thin">
          <color theme="2"/>
        </bottom>
      </border>
    </dxf>
    <dxf>
      <border outline="0">
        <top style="thin">
          <color theme="4" tint="0.39997558519241921"/>
        </top>
        <bottom style="thin">
          <color theme="2" tint="-9.9978637043366805E-2"/>
        </bottom>
      </border>
    </dxf>
    <dxf>
      <font>
        <b val="0"/>
        <i val="0"/>
        <strike val="0"/>
        <condense val="0"/>
        <extend val="0"/>
        <outline val="0"/>
        <shadow val="0"/>
        <u val="none"/>
        <vertAlign val="baseline"/>
        <sz val="10"/>
        <color theme="1" tint="0.14999847407452621"/>
        <name val="Lato"/>
        <family val="2"/>
        <scheme val="none"/>
      </font>
      <fill>
        <patternFill patternType="none">
          <fgColor indexed="64"/>
          <bgColor auto="1"/>
        </patternFill>
      </fill>
      <alignment horizontal="general" vertical="center" textRotation="0" wrapText="1" indent="0" justifyLastLine="0" shrinkToFit="0" readingOrder="0"/>
    </dxf>
    <dxf>
      <border>
        <bottom style="thin">
          <color theme="2" tint="-9.9917600024414813E-2"/>
        </bottom>
      </border>
    </dxf>
    <dxf>
      <font>
        <b/>
        <i val="0"/>
        <strike val="0"/>
        <condense val="0"/>
        <extend val="0"/>
        <outline val="0"/>
        <shadow val="0"/>
        <u val="none"/>
        <vertAlign val="baseline"/>
        <sz val="11"/>
        <color theme="1" tint="0.34998626667073579"/>
        <name val="Lato"/>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theme="2" tint="-9.9948118533890809E-2"/>
        </left>
        <right style="thin">
          <color theme="2" tint="-9.9948118533890809E-2"/>
        </right>
        <top/>
        <bottom/>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439DF20F-508F-4FE9-A657-A0732235FE34}">
      <tableStyleElement type="wholeTable" dxfId="77"/>
      <tableStyleElement type="headerRow" dxfId="76"/>
    </tableStyle>
  </tableStyles>
  <colors>
    <mruColors>
      <color rgb="FFF04A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pivotSource>
    <c:name>[ENR-QUA-10_pilotage_risques_Green_IT.xlsx]Dashboards!Tableau croisé dynamique1</c:name>
    <c:fmtId val="2"/>
  </c:pivotSource>
  <c:chart>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Dashboards!$B$5:$B$6</c:f>
              <c:strCache>
                <c:ptCount val="1"/>
                <c:pt idx="0">
                  <c:v>Forte</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Dashboards!$A$7:$A$11</c:f>
              <c:strCache>
                <c:ptCount val="4"/>
                <c:pt idx="0">
                  <c:v>Commercial</c:v>
                </c:pt>
                <c:pt idx="1">
                  <c:v>Qualité</c:v>
                </c:pt>
                <c:pt idx="2">
                  <c:v>Technique</c:v>
                </c:pt>
                <c:pt idx="3">
                  <c:v>Organisation</c:v>
                </c:pt>
              </c:strCache>
            </c:strRef>
          </c:cat>
          <c:val>
            <c:numRef>
              <c:f>Dashboards!$B$7:$B$11</c:f>
              <c:numCache>
                <c:formatCode>General</c:formatCode>
                <c:ptCount val="4"/>
                <c:pt idx="0">
                  <c:v>1</c:v>
                </c:pt>
                <c:pt idx="2">
                  <c:v>2</c:v>
                </c:pt>
                <c:pt idx="3">
                  <c:v>1</c:v>
                </c:pt>
              </c:numCache>
            </c:numRef>
          </c:val>
          <c:extLst>
            <c:ext xmlns:c16="http://schemas.microsoft.com/office/drawing/2014/chart" uri="{C3380CC4-5D6E-409C-BE32-E72D297353CC}">
              <c16:uniqueId val="{00000000-29C5-4196-82A3-EE4D2D9FF8FF}"/>
            </c:ext>
          </c:extLst>
        </c:ser>
        <c:ser>
          <c:idx val="1"/>
          <c:order val="1"/>
          <c:tx>
            <c:strRef>
              <c:f>Dashboards!$C$5:$C$6</c:f>
              <c:strCache>
                <c:ptCount val="1"/>
                <c:pt idx="0">
                  <c:v>Moyenne</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Dashboards!$A$7:$A$11</c:f>
              <c:strCache>
                <c:ptCount val="4"/>
                <c:pt idx="0">
                  <c:v>Commercial</c:v>
                </c:pt>
                <c:pt idx="1">
                  <c:v>Qualité</c:v>
                </c:pt>
                <c:pt idx="2">
                  <c:v>Technique</c:v>
                </c:pt>
                <c:pt idx="3">
                  <c:v>Organisation</c:v>
                </c:pt>
              </c:strCache>
            </c:strRef>
          </c:cat>
          <c:val>
            <c:numRef>
              <c:f>Dashboards!$C$7:$C$11</c:f>
              <c:numCache>
                <c:formatCode>General</c:formatCode>
                <c:ptCount val="4"/>
                <c:pt idx="0">
                  <c:v>1</c:v>
                </c:pt>
                <c:pt idx="1">
                  <c:v>1</c:v>
                </c:pt>
              </c:numCache>
            </c:numRef>
          </c:val>
          <c:extLst>
            <c:ext xmlns:c16="http://schemas.microsoft.com/office/drawing/2014/chart" uri="{C3380CC4-5D6E-409C-BE32-E72D297353CC}">
              <c16:uniqueId val="{00000003-29C5-4196-82A3-EE4D2D9FF8FF}"/>
            </c:ext>
          </c:extLst>
        </c:ser>
        <c:dLbls>
          <c:showLegendKey val="0"/>
          <c:showVal val="1"/>
          <c:showCatName val="0"/>
          <c:showSerName val="0"/>
          <c:showPercent val="0"/>
          <c:showBubbleSize val="0"/>
        </c:dLbls>
        <c:axId val="1355304128"/>
        <c:axId val="1303207984"/>
      </c:radarChart>
      <c:catAx>
        <c:axId val="135530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normalizeH="0" baseline="0">
                <a:solidFill>
                  <a:schemeClr val="tx2"/>
                </a:solidFill>
                <a:latin typeface="+mn-lt"/>
                <a:ea typeface="+mn-ea"/>
                <a:cs typeface="+mn-cs"/>
              </a:defRPr>
            </a:pPr>
            <a:endParaRPr lang="fr-FR"/>
          </a:p>
        </c:txPr>
        <c:crossAx val="1303207984"/>
        <c:crosses val="autoZero"/>
        <c:auto val="1"/>
        <c:lblAlgn val="ctr"/>
        <c:lblOffset val="100"/>
        <c:noMultiLvlLbl val="0"/>
      </c:catAx>
      <c:valAx>
        <c:axId val="13032079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fr-FR"/>
          </a:p>
        </c:txPr>
        <c:crossAx val="1355304128"/>
        <c:crosses val="autoZero"/>
        <c:crossBetween val="between"/>
      </c:valAx>
      <c:spPr>
        <a:noFill/>
        <a:ln>
          <a:noFill/>
        </a:ln>
        <a:effectLst/>
      </c:spPr>
    </c:plotArea>
    <c:legend>
      <c:legendPos val="r"/>
      <c:overlay val="0"/>
      <c:spPr>
        <a:no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pivotSource>
    <c:name>[ENR-QUA-10_pilotage_risques_Green_IT.xlsx]Dashboards!Tableau croisé dynamique2</c:name>
    <c:fmtId val="13"/>
  </c:pivotSource>
  <c:chart>
    <c:autoTitleDeleted val="0"/>
    <c:pivotFmts>
      <c:pivotFmt>
        <c:idx val="0"/>
        <c:spPr>
          <a:solidFill>
            <a:srgbClr val="92D05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outerShdw blurRad="57150" dist="19050" dir="5400000" algn="ctr" rotWithShape="0">
              <a:srgbClr val="000000">
                <a:alpha val="63000"/>
              </a:srgbClr>
            </a:outerShdw>
          </a:effectLst>
          <a:sp3d/>
        </c:spPr>
        <c:dLbl>
          <c:idx val="0"/>
          <c:layout>
            <c:manualLayout>
              <c:x val="2.7777777777777676E-2"/>
              <c:y val="-4.593248760571595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outerShdw blurRad="57150" dist="19050" dir="5400000" algn="ctr" rotWithShape="0">
              <a:srgbClr val="000000">
                <a:alpha val="63000"/>
              </a:srgbClr>
            </a:outerShdw>
          </a:effectLst>
          <a:sp3d/>
        </c:spPr>
        <c:dLbl>
          <c:idx val="0"/>
          <c:layout>
            <c:manualLayout>
              <c:x val="2.2222222222222223E-2"/>
              <c:y val="-3.660542432195975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outerShdw blurRad="57150" dist="19050" dir="5400000" algn="ctr" rotWithShape="0">
              <a:srgbClr val="000000">
                <a:alpha val="63000"/>
              </a:srgbClr>
            </a:outerShdw>
          </a:effectLst>
          <a:sp3d/>
        </c:spPr>
        <c:dLbl>
          <c:idx val="0"/>
          <c:layout>
            <c:manualLayout>
              <c:x val="1.9444444444444393E-2"/>
              <c:y val="-3.71044765237679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Dashboards!$B$28:$B$29</c:f>
              <c:strCache>
                <c:ptCount val="1"/>
                <c:pt idx="0">
                  <c:v>Faible</c:v>
                </c:pt>
              </c:strCache>
            </c:strRef>
          </c:tx>
          <c:spPr>
            <a:solidFill>
              <a:srgbClr val="92D050"/>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6-CFB6-48DA-AB22-1F977929EFED}"/>
              </c:ext>
            </c:extLst>
          </c:dPt>
          <c:dLbls>
            <c:dLbl>
              <c:idx val="0"/>
              <c:layout>
                <c:manualLayout>
                  <c:x val="1.9444444444444393E-2"/>
                  <c:y val="-3.7104476523767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B6-48DA-AB22-1F977929EFED}"/>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Dashboards!$A$30:$A$31</c:f>
              <c:strCache>
                <c:ptCount val="1"/>
                <c:pt idx="0">
                  <c:v>Projet "Green-IT"</c:v>
                </c:pt>
              </c:strCache>
            </c:strRef>
          </c:cat>
          <c:val>
            <c:numRef>
              <c:f>Dashboards!$B$30:$B$31</c:f>
              <c:numCache>
                <c:formatCode>General</c:formatCode>
                <c:ptCount val="1"/>
                <c:pt idx="0">
                  <c:v>1</c:v>
                </c:pt>
              </c:numCache>
            </c:numRef>
          </c:val>
          <c:shape val="cylinder"/>
          <c:extLst>
            <c:ext xmlns:c16="http://schemas.microsoft.com/office/drawing/2014/chart" uri="{C3380CC4-5D6E-409C-BE32-E72D297353CC}">
              <c16:uniqueId val="{00000000-CFB6-48DA-AB22-1F977929EFED}"/>
            </c:ext>
          </c:extLst>
        </c:ser>
        <c:ser>
          <c:idx val="1"/>
          <c:order val="1"/>
          <c:tx>
            <c:strRef>
              <c:f>Dashboards!$C$28:$C$29</c:f>
              <c:strCache>
                <c:ptCount val="1"/>
                <c:pt idx="0">
                  <c:v>Moyenne</c:v>
                </c:pt>
              </c:strCache>
            </c:strRef>
          </c:tx>
          <c:spPr>
            <a:solidFill>
              <a:schemeClr val="accent4"/>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5-CFB6-48DA-AB22-1F977929EFED}"/>
              </c:ext>
            </c:extLst>
          </c:dPt>
          <c:dLbls>
            <c:dLbl>
              <c:idx val="0"/>
              <c:layout>
                <c:manualLayout>
                  <c:x val="2.2222222222222223E-2"/>
                  <c:y val="-3.660542432195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B6-48DA-AB22-1F977929EFED}"/>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Dashboards!$A$30:$A$31</c:f>
              <c:strCache>
                <c:ptCount val="1"/>
                <c:pt idx="0">
                  <c:v>Projet "Green-IT"</c:v>
                </c:pt>
              </c:strCache>
            </c:strRef>
          </c:cat>
          <c:val>
            <c:numRef>
              <c:f>Dashboards!$C$30:$C$31</c:f>
              <c:numCache>
                <c:formatCode>General</c:formatCode>
                <c:ptCount val="1"/>
                <c:pt idx="0">
                  <c:v>4</c:v>
                </c:pt>
              </c:numCache>
            </c:numRef>
          </c:val>
          <c:shape val="cylinder"/>
          <c:extLst>
            <c:ext xmlns:c16="http://schemas.microsoft.com/office/drawing/2014/chart" uri="{C3380CC4-5D6E-409C-BE32-E72D297353CC}">
              <c16:uniqueId val="{00000001-CFB6-48DA-AB22-1F977929EFED}"/>
            </c:ext>
          </c:extLst>
        </c:ser>
        <c:ser>
          <c:idx val="2"/>
          <c:order val="2"/>
          <c:tx>
            <c:strRef>
              <c:f>Dashboards!$D$28:$D$29</c:f>
              <c:strCache>
                <c:ptCount val="1"/>
                <c:pt idx="0">
                  <c:v>Forte</c:v>
                </c:pt>
              </c:strCache>
            </c:strRef>
          </c:tx>
          <c:spPr>
            <a:solidFill>
              <a:srgbClr val="FF0000"/>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4-CFB6-48DA-AB22-1F977929EFED}"/>
              </c:ext>
            </c:extLst>
          </c:dPt>
          <c:dLbls>
            <c:dLbl>
              <c:idx val="0"/>
              <c:layout>
                <c:manualLayout>
                  <c:x val="2.7777777777777676E-2"/>
                  <c:y val="-4.59324876057159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B6-48DA-AB22-1F977929EFED}"/>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Dashboards!$A$30:$A$31</c:f>
              <c:strCache>
                <c:ptCount val="1"/>
                <c:pt idx="0">
                  <c:v>Projet "Green-IT"</c:v>
                </c:pt>
              </c:strCache>
            </c:strRef>
          </c:cat>
          <c:val>
            <c:numRef>
              <c:f>Dashboards!$D$30:$D$31</c:f>
              <c:numCache>
                <c:formatCode>General</c:formatCode>
                <c:ptCount val="1"/>
                <c:pt idx="0">
                  <c:v>1</c:v>
                </c:pt>
              </c:numCache>
            </c:numRef>
          </c:val>
          <c:shape val="cylinder"/>
          <c:extLst>
            <c:ext xmlns:c16="http://schemas.microsoft.com/office/drawing/2014/chart" uri="{C3380CC4-5D6E-409C-BE32-E72D297353CC}">
              <c16:uniqueId val="{00000002-CFB6-48DA-AB22-1F977929EFED}"/>
            </c:ext>
          </c:extLst>
        </c:ser>
        <c:dLbls>
          <c:showLegendKey val="0"/>
          <c:showVal val="0"/>
          <c:showCatName val="0"/>
          <c:showSerName val="0"/>
          <c:showPercent val="0"/>
          <c:showBubbleSize val="0"/>
        </c:dLbls>
        <c:gapWidth val="150"/>
        <c:gapDepth val="149"/>
        <c:shape val="box"/>
        <c:axId val="1368788640"/>
        <c:axId val="1303229584"/>
        <c:axId val="0"/>
      </c:bar3DChart>
      <c:catAx>
        <c:axId val="1368788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fr-FR"/>
          </a:p>
        </c:txPr>
        <c:crossAx val="1303229584"/>
        <c:crosses val="autoZero"/>
        <c:auto val="1"/>
        <c:lblAlgn val="ctr"/>
        <c:lblOffset val="100"/>
        <c:noMultiLvlLbl val="0"/>
      </c:catAx>
      <c:valAx>
        <c:axId val="130322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fr-FR"/>
          </a:p>
        </c:txPr>
        <c:crossAx val="1368788640"/>
        <c:crosses val="autoZero"/>
        <c:crossBetween val="between"/>
      </c:valAx>
      <c:spPr>
        <a:noFill/>
        <a:ln>
          <a:noFill/>
        </a:ln>
        <a:effectLst/>
      </c:spPr>
    </c:plotArea>
    <c:legend>
      <c:legendPos val="r"/>
      <c:overlay val="0"/>
      <c:spPr>
        <a:no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pivotSource>
    <c:name>[ENR-QUA-10_pilotage_risques_Green_IT.xlsx]Dashboards!Tableau croisé dynamique3</c:name>
    <c:fmtId val="11"/>
  </c:pivotSource>
  <c:chart>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Dashboards!$B$53:$B$54</c:f>
              <c:strCache>
                <c:ptCount val="1"/>
                <c:pt idx="0">
                  <c:v>Forte</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Dashboards!$A$55:$A$58</c:f>
              <c:strCache>
                <c:ptCount val="3"/>
                <c:pt idx="0">
                  <c:v>sept</c:v>
                </c:pt>
                <c:pt idx="1">
                  <c:v>oct</c:v>
                </c:pt>
                <c:pt idx="2">
                  <c:v>nov</c:v>
                </c:pt>
              </c:strCache>
            </c:strRef>
          </c:cat>
          <c:val>
            <c:numRef>
              <c:f>Dashboards!$B$55:$B$58</c:f>
              <c:numCache>
                <c:formatCode>General</c:formatCode>
                <c:ptCount val="3"/>
                <c:pt idx="0">
                  <c:v>1</c:v>
                </c:pt>
              </c:numCache>
            </c:numRef>
          </c:val>
          <c:shape val="cylinder"/>
          <c:extLst>
            <c:ext xmlns:c16="http://schemas.microsoft.com/office/drawing/2014/chart" uri="{C3380CC4-5D6E-409C-BE32-E72D297353CC}">
              <c16:uniqueId val="{00000000-CC7A-498F-90D9-2E4F606D149C}"/>
            </c:ext>
          </c:extLst>
        </c:ser>
        <c:ser>
          <c:idx val="1"/>
          <c:order val="1"/>
          <c:tx>
            <c:strRef>
              <c:f>Dashboards!$C$53:$C$54</c:f>
              <c:strCache>
                <c:ptCount val="1"/>
                <c:pt idx="0">
                  <c:v>Moyenne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Dashboards!$A$55:$A$58</c:f>
              <c:strCache>
                <c:ptCount val="3"/>
                <c:pt idx="0">
                  <c:v>sept</c:v>
                </c:pt>
                <c:pt idx="1">
                  <c:v>oct</c:v>
                </c:pt>
                <c:pt idx="2">
                  <c:v>nov</c:v>
                </c:pt>
              </c:strCache>
            </c:strRef>
          </c:cat>
          <c:val>
            <c:numRef>
              <c:f>Dashboards!$C$55:$C$58</c:f>
              <c:numCache>
                <c:formatCode>General</c:formatCode>
                <c:ptCount val="3"/>
                <c:pt idx="0">
                  <c:v>2</c:v>
                </c:pt>
                <c:pt idx="1">
                  <c:v>1</c:v>
                </c:pt>
                <c:pt idx="2">
                  <c:v>1</c:v>
                </c:pt>
              </c:numCache>
            </c:numRef>
          </c:val>
          <c:shape val="cylinder"/>
          <c:extLst>
            <c:ext xmlns:c16="http://schemas.microsoft.com/office/drawing/2014/chart" uri="{C3380CC4-5D6E-409C-BE32-E72D297353CC}">
              <c16:uniqueId val="{00000001-CC7A-498F-90D9-2E4F606D149C}"/>
            </c:ext>
          </c:extLst>
        </c:ser>
        <c:ser>
          <c:idx val="2"/>
          <c:order val="2"/>
          <c:tx>
            <c:strRef>
              <c:f>Dashboards!$D$53:$D$54</c:f>
              <c:strCache>
                <c:ptCount val="1"/>
                <c:pt idx="0">
                  <c:v>Faible</c:v>
                </c:pt>
              </c:strCache>
            </c:strRef>
          </c:tx>
          <c:spPr>
            <a:solidFill>
              <a:srgbClr val="92D050"/>
            </a:solidFill>
            <a:ln>
              <a:noFill/>
            </a:ln>
            <a:effectLst/>
            <a:sp3d/>
          </c:spPr>
          <c:invertIfNegative val="0"/>
          <c:cat>
            <c:strRef>
              <c:f>Dashboards!$A$55:$A$58</c:f>
              <c:strCache>
                <c:ptCount val="3"/>
                <c:pt idx="0">
                  <c:v>sept</c:v>
                </c:pt>
                <c:pt idx="1">
                  <c:v>oct</c:v>
                </c:pt>
                <c:pt idx="2">
                  <c:v>nov</c:v>
                </c:pt>
              </c:strCache>
            </c:strRef>
          </c:cat>
          <c:val>
            <c:numRef>
              <c:f>Dashboards!$D$55:$D$58</c:f>
              <c:numCache>
                <c:formatCode>General</c:formatCode>
                <c:ptCount val="3"/>
                <c:pt idx="0">
                  <c:v>1</c:v>
                </c:pt>
              </c:numCache>
            </c:numRef>
          </c:val>
          <c:shape val="cylinder"/>
          <c:extLst>
            <c:ext xmlns:c16="http://schemas.microsoft.com/office/drawing/2014/chart" uri="{C3380CC4-5D6E-409C-BE32-E72D297353CC}">
              <c16:uniqueId val="{00000003-CC7A-498F-90D9-2E4F606D149C}"/>
            </c:ext>
          </c:extLst>
        </c:ser>
        <c:dLbls>
          <c:showLegendKey val="0"/>
          <c:showVal val="0"/>
          <c:showCatName val="0"/>
          <c:showSerName val="0"/>
          <c:showPercent val="0"/>
          <c:showBubbleSize val="0"/>
        </c:dLbls>
        <c:gapWidth val="150"/>
        <c:shape val="box"/>
        <c:axId val="1368784464"/>
        <c:axId val="1303154224"/>
        <c:axId val="0"/>
      </c:bar3DChart>
      <c:catAx>
        <c:axId val="136878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fr-FR"/>
          </a:p>
        </c:txPr>
        <c:crossAx val="1303154224"/>
        <c:crosses val="autoZero"/>
        <c:auto val="1"/>
        <c:lblAlgn val="ctr"/>
        <c:lblOffset val="100"/>
        <c:noMultiLvlLbl val="0"/>
      </c:catAx>
      <c:valAx>
        <c:axId val="13031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fr-FR"/>
          </a:p>
        </c:txPr>
        <c:crossAx val="1368784464"/>
        <c:crosses val="autoZero"/>
        <c:crossBetween val="between"/>
      </c:valAx>
      <c:spPr>
        <a:noFill/>
        <a:ln>
          <a:noFill/>
        </a:ln>
        <a:effectLst/>
      </c:spPr>
    </c:plotArea>
    <c:legend>
      <c:legendPos val="r"/>
      <c:layout>
        <c:manualLayout>
          <c:xMode val="edge"/>
          <c:yMode val="edge"/>
          <c:x val="0.83750000000000002"/>
          <c:y val="0.43402704870224557"/>
          <c:w val="0.14583333333333334"/>
          <c:h val="0.26518409157188683"/>
        </c:manualLayout>
      </c:layout>
      <c:overlay val="0"/>
      <c:spPr>
        <a:noFill/>
        <a:ln>
          <a:solidFill>
            <a:schemeClr val="tx1"/>
          </a:solid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Lato" panose="020F0502020204030203" pitchFamily="34" charset="0"/>
                <a:ea typeface="Lato" panose="020F0502020204030203" pitchFamily="34" charset="0"/>
                <a:cs typeface="Lato" panose="020F0502020204030203" pitchFamily="34" charset="0"/>
              </a:defRPr>
            </a:pPr>
            <a:r>
              <a:rPr lang="fr-FR">
                <a:latin typeface="Lato" panose="020F0502020204030203" pitchFamily="34" charset="0"/>
                <a:ea typeface="Lato" panose="020F0502020204030203" pitchFamily="34" charset="0"/>
                <a:cs typeface="Lato" panose="020F0502020204030203" pitchFamily="34" charset="0"/>
              </a:rPr>
              <a:t>Risque - Project XXX</a:t>
            </a:r>
          </a:p>
        </c:rich>
      </c:tx>
      <c:layout>
        <c:manualLayout>
          <c:xMode val="edge"/>
          <c:yMode val="edge"/>
          <c:x val="0.33241007438837128"/>
          <c:y val="3.1941031941031942E-2"/>
        </c:manualLayout>
      </c:layout>
      <c:overlay val="0"/>
      <c:spPr>
        <a:noFill/>
        <a:ln w="25400">
          <a:noFill/>
        </a:ln>
      </c:spPr>
    </c:title>
    <c:autoTitleDeleted val="0"/>
    <c:plotArea>
      <c:layout>
        <c:manualLayout>
          <c:layoutTarget val="inner"/>
          <c:xMode val="edge"/>
          <c:yMode val="edge"/>
          <c:x val="0.11495844875346255"/>
          <c:y val="0.1793611793611794"/>
          <c:w val="0.75890226156963569"/>
          <c:h val="0.6240786240786268"/>
        </c:manualLayout>
      </c:layout>
      <c:barChart>
        <c:barDir val="col"/>
        <c:grouping val="stacked"/>
        <c:varyColors val="0"/>
        <c:ser>
          <c:idx val="1"/>
          <c:order val="0"/>
          <c:tx>
            <c:strRef>
              <c:f>'AMDEC Rapport'!$E$4</c:f>
              <c:strCache>
                <c:ptCount val="1"/>
                <c:pt idx="0">
                  <c:v>Date / Type</c:v>
                </c:pt>
              </c:strCache>
            </c:strRef>
          </c:tx>
          <c:spPr>
            <a:solidFill>
              <a:srgbClr val="FF0000"/>
            </a:solidFill>
            <a:ln w="12700">
              <a:solidFill>
                <a:srgbClr val="000000"/>
              </a:solidFill>
              <a:prstDash val="solid"/>
            </a:ln>
          </c:spPr>
          <c:invertIfNegative val="0"/>
          <c:val>
            <c:numRef>
              <c:f>'AMDEC Rapport'!$F$4:$L$4</c:f>
              <c:numCache>
                <c:formatCode>@</c:formatCode>
                <c:ptCount val="7"/>
                <c:pt idx="0">
                  <c:v>0</c:v>
                </c:pt>
                <c:pt idx="1">
                  <c:v>0</c:v>
                </c:pt>
              </c:numCache>
            </c:numRef>
          </c:val>
          <c:extLst>
            <c:ext xmlns:c16="http://schemas.microsoft.com/office/drawing/2014/chart" uri="{C3380CC4-5D6E-409C-BE32-E72D297353CC}">
              <c16:uniqueId val="{00000000-E49F-4EED-98C3-C14CD9BAB595}"/>
            </c:ext>
          </c:extLst>
        </c:ser>
        <c:ser>
          <c:idx val="2"/>
          <c:order val="1"/>
          <c:tx>
            <c:strRef>
              <c:f>'AMDEC Rapport'!$E$5</c:f>
              <c:strCache>
                <c:ptCount val="1"/>
                <c:pt idx="0">
                  <c:v>Très haut</c:v>
                </c:pt>
              </c:strCache>
            </c:strRef>
          </c:tx>
          <c:spPr>
            <a:solidFill>
              <a:srgbClr val="FF9900"/>
            </a:solidFill>
            <a:ln w="12700">
              <a:solidFill>
                <a:srgbClr val="000000"/>
              </a:solidFill>
              <a:prstDash val="solid"/>
            </a:ln>
          </c:spPr>
          <c:invertIfNegative val="0"/>
          <c:val>
            <c:numRef>
              <c:f>'AMDEC Rapport'!$F$5:$L$5</c:f>
              <c:numCache>
                <c:formatCode>0</c:formatCode>
                <c:ptCount val="7"/>
              </c:numCache>
            </c:numRef>
          </c:val>
          <c:extLst>
            <c:ext xmlns:c16="http://schemas.microsoft.com/office/drawing/2014/chart" uri="{C3380CC4-5D6E-409C-BE32-E72D297353CC}">
              <c16:uniqueId val="{00000001-E49F-4EED-98C3-C14CD9BAB595}"/>
            </c:ext>
          </c:extLst>
        </c:ser>
        <c:ser>
          <c:idx val="3"/>
          <c:order val="2"/>
          <c:tx>
            <c:strRef>
              <c:f>'AMDEC Rapport'!$E$6</c:f>
              <c:strCache>
                <c:ptCount val="1"/>
                <c:pt idx="0">
                  <c:v>Haut</c:v>
                </c:pt>
              </c:strCache>
            </c:strRef>
          </c:tx>
          <c:spPr>
            <a:solidFill>
              <a:srgbClr val="FFFF00"/>
            </a:solidFill>
            <a:ln w="12700">
              <a:solidFill>
                <a:srgbClr val="000000"/>
              </a:solidFill>
              <a:prstDash val="solid"/>
            </a:ln>
          </c:spPr>
          <c:invertIfNegative val="0"/>
          <c:val>
            <c:numRef>
              <c:f>'AMDEC Rapport'!$F$6:$L$6</c:f>
              <c:numCache>
                <c:formatCode>0</c:formatCode>
                <c:ptCount val="7"/>
              </c:numCache>
            </c:numRef>
          </c:val>
          <c:extLst>
            <c:ext xmlns:c16="http://schemas.microsoft.com/office/drawing/2014/chart" uri="{C3380CC4-5D6E-409C-BE32-E72D297353CC}">
              <c16:uniqueId val="{00000002-E49F-4EED-98C3-C14CD9BAB595}"/>
            </c:ext>
          </c:extLst>
        </c:ser>
        <c:ser>
          <c:idx val="4"/>
          <c:order val="3"/>
          <c:tx>
            <c:strRef>
              <c:f>'AMDEC Rapport'!$E$7</c:f>
              <c:strCache>
                <c:ptCount val="1"/>
                <c:pt idx="0">
                  <c:v>Medium</c:v>
                </c:pt>
              </c:strCache>
            </c:strRef>
          </c:tx>
          <c:spPr>
            <a:solidFill>
              <a:srgbClr val="00FF00"/>
            </a:solidFill>
            <a:ln w="12700">
              <a:solidFill>
                <a:srgbClr val="000000"/>
              </a:solidFill>
              <a:prstDash val="solid"/>
            </a:ln>
          </c:spPr>
          <c:invertIfNegative val="0"/>
          <c:val>
            <c:numRef>
              <c:f>'AMDEC Rapport'!$F$7:$L$7</c:f>
              <c:numCache>
                <c:formatCode>0</c:formatCode>
                <c:ptCount val="7"/>
              </c:numCache>
            </c:numRef>
          </c:val>
          <c:extLst>
            <c:ext xmlns:c16="http://schemas.microsoft.com/office/drawing/2014/chart" uri="{C3380CC4-5D6E-409C-BE32-E72D297353CC}">
              <c16:uniqueId val="{00000003-E49F-4EED-98C3-C14CD9BAB595}"/>
            </c:ext>
          </c:extLst>
        </c:ser>
        <c:ser>
          <c:idx val="0"/>
          <c:order val="4"/>
          <c:tx>
            <c:strRef>
              <c:f>'AMDEC Rapport'!$E$8</c:f>
              <c:strCache>
                <c:ptCount val="1"/>
                <c:pt idx="0">
                  <c:v>Faible</c:v>
                </c:pt>
              </c:strCache>
            </c:strRef>
          </c:tx>
          <c:invertIfNegative val="0"/>
          <c:val>
            <c:numRef>
              <c:f>'AMDEC Rapport'!$F$8:$L$8</c:f>
              <c:numCache>
                <c:formatCode>0</c:formatCode>
                <c:ptCount val="7"/>
              </c:numCache>
            </c:numRef>
          </c:val>
          <c:extLst>
            <c:ext xmlns:c16="http://schemas.microsoft.com/office/drawing/2014/chart" uri="{C3380CC4-5D6E-409C-BE32-E72D297353CC}">
              <c16:uniqueId val="{00000004-E49F-4EED-98C3-C14CD9BAB595}"/>
            </c:ext>
          </c:extLst>
        </c:ser>
        <c:dLbls>
          <c:showLegendKey val="0"/>
          <c:showVal val="0"/>
          <c:showCatName val="0"/>
          <c:showSerName val="0"/>
          <c:showPercent val="0"/>
          <c:showBubbleSize val="0"/>
        </c:dLbls>
        <c:gapWidth val="150"/>
        <c:overlap val="100"/>
        <c:axId val="124604800"/>
        <c:axId val="124606720"/>
      </c:barChart>
      <c:catAx>
        <c:axId val="124604800"/>
        <c:scaling>
          <c:orientation val="minMax"/>
        </c:scaling>
        <c:delete val="0"/>
        <c:axPos val="b"/>
        <c:title>
          <c:tx>
            <c:rich>
              <a:bodyPr/>
              <a:lstStyle/>
              <a:p>
                <a:pPr>
                  <a:defRPr sz="1200" b="1" i="0" u="none" strike="noStrike" baseline="0">
                    <a:solidFill>
                      <a:srgbClr val="000000"/>
                    </a:solidFill>
                    <a:latin typeface="Lato" panose="020F0502020204030203" pitchFamily="34" charset="0"/>
                    <a:ea typeface="Lato" panose="020F0502020204030203" pitchFamily="34" charset="0"/>
                    <a:cs typeface="Lato" panose="020F0502020204030203" pitchFamily="34" charset="0"/>
                  </a:defRPr>
                </a:pPr>
                <a:r>
                  <a:rPr lang="fr-FR" sz="1200">
                    <a:latin typeface="Lato" panose="020F0502020204030203" pitchFamily="34" charset="0"/>
                    <a:ea typeface="Lato" panose="020F0502020204030203" pitchFamily="34" charset="0"/>
                    <a:cs typeface="Lato" panose="020F0502020204030203" pitchFamily="34" charset="0"/>
                  </a:rPr>
                  <a:t>Etape</a:t>
                </a:r>
              </a:p>
            </c:rich>
          </c:tx>
          <c:layout>
            <c:manualLayout>
              <c:xMode val="edge"/>
              <c:yMode val="edge"/>
              <c:x val="0.42611648894554799"/>
              <c:y val="0.8762445801329208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24606720"/>
        <c:crosses val="autoZero"/>
        <c:auto val="0"/>
        <c:lblAlgn val="ctr"/>
        <c:lblOffset val="100"/>
        <c:tickLblSkip val="1"/>
        <c:tickMarkSkip val="1"/>
        <c:noMultiLvlLbl val="0"/>
      </c:catAx>
      <c:valAx>
        <c:axId val="124606720"/>
        <c:scaling>
          <c:orientation val="minMax"/>
          <c:max val="26"/>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Lato" panose="020F0502020204030203" pitchFamily="34" charset="0"/>
                    <a:ea typeface="Lato" panose="020F0502020204030203" pitchFamily="34" charset="0"/>
                    <a:cs typeface="Lato" panose="020F0502020204030203" pitchFamily="34" charset="0"/>
                  </a:defRPr>
                </a:pPr>
                <a:r>
                  <a:rPr lang="fr-FR" sz="1200">
                    <a:latin typeface="Lato" panose="020F0502020204030203" pitchFamily="34" charset="0"/>
                    <a:ea typeface="Lato" panose="020F0502020204030203" pitchFamily="34" charset="0"/>
                    <a:cs typeface="Lato" panose="020F0502020204030203" pitchFamily="34" charset="0"/>
                  </a:rPr>
                  <a:t>Nb de risque</a:t>
                </a:r>
              </a:p>
            </c:rich>
          </c:tx>
          <c:layout>
            <c:manualLayout>
              <c:xMode val="edge"/>
              <c:yMode val="edge"/>
              <c:x val="6.9251900507255274E-3"/>
              <c:y val="0.38329238329238413"/>
            </c:manualLayout>
          </c:layout>
          <c:overlay val="0"/>
          <c:spPr>
            <a:noFill/>
            <a:ln w="25400">
              <a:noFill/>
            </a:ln>
          </c:spPr>
        </c:title>
        <c:numFmt formatCode="@" sourceLinked="1"/>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24604800"/>
        <c:crosses val="autoZero"/>
        <c:crossBetween val="between"/>
        <c:majorUnit val="2"/>
      </c:valAx>
      <c:spPr>
        <a:solidFill>
          <a:srgbClr val="FFFFFF"/>
        </a:solidFill>
        <a:ln w="12700">
          <a:solidFill>
            <a:srgbClr val="808080"/>
          </a:solidFill>
          <a:prstDash val="solid"/>
        </a:ln>
      </c:spPr>
    </c:plotArea>
    <c:legend>
      <c:legendPos val="r"/>
      <c:layout>
        <c:manualLayout>
          <c:xMode val="edge"/>
          <c:yMode val="edge"/>
          <c:x val="0.87663090041205993"/>
          <c:y val="0.34398042349969493"/>
          <c:w val="0.11586527524010709"/>
          <c:h val="0.21920339889708335"/>
        </c:manualLayout>
      </c:layout>
      <c:overlay val="0"/>
      <c:spPr>
        <a:solidFill>
          <a:srgbClr val="FFFFFF"/>
        </a:solidFill>
        <a:ln w="3175">
          <a:solidFill>
            <a:srgbClr val="000000"/>
          </a:solidFill>
          <a:prstDash val="solid"/>
        </a:ln>
      </c:spPr>
      <c:txPr>
        <a:bodyPr/>
        <a:lstStyle/>
        <a:p>
          <a:pPr>
            <a:defRPr sz="910" b="0" i="0" u="none" strike="noStrike" baseline="0">
              <a:solidFill>
                <a:srgbClr val="000000"/>
              </a:solidFill>
              <a:latin typeface="Lato" panose="020F0502020204030203" pitchFamily="34" charset="0"/>
              <a:ea typeface="Lato" panose="020F0502020204030203" pitchFamily="34" charset="0"/>
              <a:cs typeface="Lato" panose="020F0502020204030203" pitchFamily="34" charset="0"/>
            </a:defRPr>
          </a:pPr>
          <a:endParaRPr lang="fr-FR"/>
        </a:p>
      </c:txPr>
    </c:legend>
    <c:plotVisOnly val="1"/>
    <c:dispBlanksAs val="gap"/>
    <c:showDLblsOverMax val="0"/>
  </c:chart>
  <c:spPr>
    <a:solidFill>
      <a:srgbClr val="FFFFFF"/>
    </a:solidFill>
    <a:ln w="12700">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111" footer="0.4921259845000011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Risk - Project XXX</a:t>
            </a:r>
          </a:p>
        </c:rich>
      </c:tx>
      <c:layout>
        <c:manualLayout>
          <c:xMode val="edge"/>
          <c:yMode val="edge"/>
          <c:x val="0.3324100743883715"/>
          <c:y val="3.1941031941031942E-2"/>
        </c:manualLayout>
      </c:layout>
      <c:overlay val="0"/>
      <c:spPr>
        <a:noFill/>
        <a:ln w="25400">
          <a:noFill/>
        </a:ln>
      </c:spPr>
    </c:title>
    <c:autoTitleDeleted val="0"/>
    <c:plotArea>
      <c:layout>
        <c:manualLayout>
          <c:layoutTarget val="inner"/>
          <c:xMode val="edge"/>
          <c:yMode val="edge"/>
          <c:x val="0.11495844875346255"/>
          <c:y val="0.1793611793611794"/>
          <c:w val="0.75890226156963569"/>
          <c:h val="0.62407862407862702"/>
        </c:manualLayout>
      </c:layout>
      <c:barChart>
        <c:barDir val="col"/>
        <c:grouping val="stacked"/>
        <c:varyColors val="0"/>
        <c:ser>
          <c:idx val="1"/>
          <c:order val="0"/>
          <c:tx>
            <c:strRef>
              <c:f>'Produit rapport'!$E$4</c:f>
              <c:strCache>
                <c:ptCount val="1"/>
                <c:pt idx="0">
                  <c:v>Very High</c:v>
                </c:pt>
              </c:strCache>
            </c:strRef>
          </c:tx>
          <c:spPr>
            <a:solidFill>
              <a:srgbClr val="FF0000"/>
            </a:solidFill>
            <a:ln w="12700">
              <a:solidFill>
                <a:srgbClr val="000000"/>
              </a:solidFill>
              <a:prstDash val="solid"/>
            </a:ln>
          </c:spPr>
          <c:invertIfNegative val="0"/>
          <c:cat>
            <c:strRef>
              <c:f>'Produit rapport'!$F$3:$L$3</c:f>
              <c:strCache>
                <c:ptCount val="1"/>
                <c:pt idx="0">
                  <c:v>Example KOM</c:v>
                </c:pt>
              </c:strCache>
            </c:strRef>
          </c:cat>
          <c:val>
            <c:numRef>
              <c:f>'Produit rapport'!$F$4:$L$4</c:f>
              <c:numCache>
                <c:formatCode>General</c:formatCode>
                <c:ptCount val="7"/>
                <c:pt idx="0">
                  <c:v>0</c:v>
                </c:pt>
              </c:numCache>
            </c:numRef>
          </c:val>
          <c:extLst>
            <c:ext xmlns:c16="http://schemas.microsoft.com/office/drawing/2014/chart" uri="{C3380CC4-5D6E-409C-BE32-E72D297353CC}">
              <c16:uniqueId val="{00000000-4FE1-4B3E-8EA1-A861A8737F5C}"/>
            </c:ext>
          </c:extLst>
        </c:ser>
        <c:ser>
          <c:idx val="2"/>
          <c:order val="1"/>
          <c:tx>
            <c:strRef>
              <c:f>'Produit rapport'!$E$5</c:f>
              <c:strCache>
                <c:ptCount val="1"/>
                <c:pt idx="0">
                  <c:v>High</c:v>
                </c:pt>
              </c:strCache>
            </c:strRef>
          </c:tx>
          <c:spPr>
            <a:solidFill>
              <a:srgbClr val="FF9900"/>
            </a:solidFill>
            <a:ln w="12700">
              <a:solidFill>
                <a:srgbClr val="000000"/>
              </a:solidFill>
              <a:prstDash val="solid"/>
            </a:ln>
          </c:spPr>
          <c:invertIfNegative val="0"/>
          <c:cat>
            <c:strRef>
              <c:f>'Produit rapport'!$F$3:$L$3</c:f>
              <c:strCache>
                <c:ptCount val="1"/>
                <c:pt idx="0">
                  <c:v>Example KOM</c:v>
                </c:pt>
              </c:strCache>
            </c:strRef>
          </c:cat>
          <c:val>
            <c:numRef>
              <c:f>'Produit rapport'!$F$5:$L$5</c:f>
              <c:numCache>
                <c:formatCode>General</c:formatCode>
                <c:ptCount val="7"/>
                <c:pt idx="0">
                  <c:v>1</c:v>
                </c:pt>
              </c:numCache>
            </c:numRef>
          </c:val>
          <c:extLst>
            <c:ext xmlns:c16="http://schemas.microsoft.com/office/drawing/2014/chart" uri="{C3380CC4-5D6E-409C-BE32-E72D297353CC}">
              <c16:uniqueId val="{00000001-4FE1-4B3E-8EA1-A861A8737F5C}"/>
            </c:ext>
          </c:extLst>
        </c:ser>
        <c:ser>
          <c:idx val="3"/>
          <c:order val="2"/>
          <c:tx>
            <c:strRef>
              <c:f>'Produit rapport'!$E$6</c:f>
              <c:strCache>
                <c:ptCount val="1"/>
                <c:pt idx="0">
                  <c:v>Medium</c:v>
                </c:pt>
              </c:strCache>
            </c:strRef>
          </c:tx>
          <c:spPr>
            <a:solidFill>
              <a:srgbClr val="FFFF00"/>
            </a:solidFill>
            <a:ln w="12700">
              <a:solidFill>
                <a:srgbClr val="000000"/>
              </a:solidFill>
              <a:prstDash val="solid"/>
            </a:ln>
          </c:spPr>
          <c:invertIfNegative val="0"/>
          <c:cat>
            <c:strRef>
              <c:f>'Produit rapport'!$F$3:$L$3</c:f>
              <c:strCache>
                <c:ptCount val="1"/>
                <c:pt idx="0">
                  <c:v>Example KOM</c:v>
                </c:pt>
              </c:strCache>
            </c:strRef>
          </c:cat>
          <c:val>
            <c:numRef>
              <c:f>'Produit rapport'!$F$6:$L$6</c:f>
              <c:numCache>
                <c:formatCode>General</c:formatCode>
                <c:ptCount val="7"/>
                <c:pt idx="0">
                  <c:v>1</c:v>
                </c:pt>
              </c:numCache>
            </c:numRef>
          </c:val>
          <c:extLst>
            <c:ext xmlns:c16="http://schemas.microsoft.com/office/drawing/2014/chart" uri="{C3380CC4-5D6E-409C-BE32-E72D297353CC}">
              <c16:uniqueId val="{00000002-4FE1-4B3E-8EA1-A861A8737F5C}"/>
            </c:ext>
          </c:extLst>
        </c:ser>
        <c:ser>
          <c:idx val="4"/>
          <c:order val="3"/>
          <c:tx>
            <c:strRef>
              <c:f>'Produit rapport'!$E$7</c:f>
              <c:strCache>
                <c:ptCount val="1"/>
                <c:pt idx="0">
                  <c:v>Low</c:v>
                </c:pt>
              </c:strCache>
            </c:strRef>
          </c:tx>
          <c:spPr>
            <a:solidFill>
              <a:srgbClr val="00FF00"/>
            </a:solidFill>
            <a:ln w="12700">
              <a:solidFill>
                <a:srgbClr val="000000"/>
              </a:solidFill>
              <a:prstDash val="solid"/>
            </a:ln>
          </c:spPr>
          <c:invertIfNegative val="0"/>
          <c:cat>
            <c:strRef>
              <c:f>'Produit rapport'!$F$3:$L$3</c:f>
              <c:strCache>
                <c:ptCount val="1"/>
                <c:pt idx="0">
                  <c:v>Example KOM</c:v>
                </c:pt>
              </c:strCache>
            </c:strRef>
          </c:cat>
          <c:val>
            <c:numRef>
              <c:f>'Produit rapport'!$F$7:$L$7</c:f>
              <c:numCache>
                <c:formatCode>General</c:formatCode>
                <c:ptCount val="7"/>
                <c:pt idx="0">
                  <c:v>2</c:v>
                </c:pt>
              </c:numCache>
            </c:numRef>
          </c:val>
          <c:extLst>
            <c:ext xmlns:c16="http://schemas.microsoft.com/office/drawing/2014/chart" uri="{C3380CC4-5D6E-409C-BE32-E72D297353CC}">
              <c16:uniqueId val="{00000003-4FE1-4B3E-8EA1-A861A8737F5C}"/>
            </c:ext>
          </c:extLst>
        </c:ser>
        <c:dLbls>
          <c:showLegendKey val="0"/>
          <c:showVal val="0"/>
          <c:showCatName val="0"/>
          <c:showSerName val="0"/>
          <c:showPercent val="0"/>
          <c:showBubbleSize val="0"/>
        </c:dLbls>
        <c:gapWidth val="150"/>
        <c:overlap val="100"/>
        <c:axId val="124361344"/>
        <c:axId val="124371712"/>
      </c:barChart>
      <c:catAx>
        <c:axId val="124361344"/>
        <c:scaling>
          <c:orientation val="minMax"/>
        </c:scaling>
        <c:delete val="0"/>
        <c:axPos val="b"/>
        <c:title>
          <c:tx>
            <c:rich>
              <a:bodyPr/>
              <a:lstStyle/>
              <a:p>
                <a:pPr>
                  <a:defRPr sz="1175" b="1" i="0" u="none" strike="noStrike" baseline="0">
                    <a:solidFill>
                      <a:srgbClr val="000000"/>
                    </a:solidFill>
                    <a:latin typeface="Arial"/>
                    <a:ea typeface="Arial"/>
                    <a:cs typeface="Arial"/>
                  </a:defRPr>
                </a:pPr>
                <a:r>
                  <a:rPr lang="fr-FR"/>
                  <a:t>Steps</a:t>
                </a:r>
              </a:p>
            </c:rich>
          </c:tx>
          <c:layout>
            <c:manualLayout>
              <c:xMode val="edge"/>
              <c:yMode val="edge"/>
              <c:x val="0.42797791467776491"/>
              <c:y val="0.8918918918918935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24371712"/>
        <c:crosses val="autoZero"/>
        <c:auto val="0"/>
        <c:lblAlgn val="ctr"/>
        <c:lblOffset val="100"/>
        <c:tickLblSkip val="1"/>
        <c:tickMarkSkip val="1"/>
        <c:noMultiLvlLbl val="0"/>
      </c:catAx>
      <c:valAx>
        <c:axId val="124371712"/>
        <c:scaling>
          <c:orientation val="minMax"/>
          <c:max val="26"/>
          <c:min val="0"/>
        </c:scaling>
        <c:delete val="0"/>
        <c:axPos val="l"/>
        <c:majorGridlines>
          <c:spPr>
            <a:ln w="3175">
              <a:solidFill>
                <a:srgbClr val="000000"/>
              </a:solidFill>
              <a:prstDash val="solid"/>
            </a:ln>
          </c:spPr>
        </c:majorGridlines>
        <c:title>
          <c:tx>
            <c:rich>
              <a:bodyPr/>
              <a:lstStyle/>
              <a:p>
                <a:pPr>
                  <a:defRPr sz="1175" b="1" i="0" u="none" strike="noStrike" baseline="0">
                    <a:solidFill>
                      <a:srgbClr val="000000"/>
                    </a:solidFill>
                    <a:latin typeface="Arial"/>
                    <a:ea typeface="Arial"/>
                    <a:cs typeface="Arial"/>
                  </a:defRPr>
                </a:pPr>
                <a:r>
                  <a:rPr lang="fr-FR"/>
                  <a:t>Nb Risks</a:t>
                </a:r>
              </a:p>
            </c:rich>
          </c:tx>
          <c:layout>
            <c:manualLayout>
              <c:xMode val="edge"/>
              <c:yMode val="edge"/>
              <c:x val="6.9251900507255274E-3"/>
              <c:y val="0.3832923832923843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24361344"/>
        <c:crosses val="autoZero"/>
        <c:crossBetween val="between"/>
        <c:majorUnit val="2"/>
      </c:valAx>
      <c:spPr>
        <a:solidFill>
          <a:srgbClr val="FFFFFF"/>
        </a:solidFill>
        <a:ln w="12700">
          <a:solidFill>
            <a:srgbClr val="808080"/>
          </a:solidFill>
          <a:prstDash val="solid"/>
        </a:ln>
      </c:spPr>
    </c:plotArea>
    <c:legend>
      <c:legendPos val="r"/>
      <c:layout>
        <c:manualLayout>
          <c:xMode val="edge"/>
          <c:yMode val="edge"/>
          <c:x val="0.87835801612881514"/>
          <c:y val="0.34398034398034494"/>
          <c:w val="0.10710742115784751"/>
          <c:h val="0.29729729729729731"/>
        </c:manualLayout>
      </c:layout>
      <c:overlay val="0"/>
      <c:spPr>
        <a:solidFill>
          <a:srgbClr val="FFFFFF"/>
        </a:solidFill>
        <a:ln w="3175">
          <a:solidFill>
            <a:srgbClr val="000000"/>
          </a:solidFill>
          <a:prstDash val="solid"/>
        </a:ln>
      </c:spPr>
      <c:txPr>
        <a:bodyPr/>
        <a:lstStyle/>
        <a:p>
          <a:pPr>
            <a:defRPr sz="91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12700">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122" footer="0.4921259845000012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2_5">
  <dgm:title val=""/>
  <dgm:desc val=""/>
  <dgm:catLst>
    <dgm:cat type="accent2" pri="11500"/>
  </dgm:catLst>
  <dgm:styleLbl name="node0">
    <dgm:fillClrLst meth="cycle">
      <a:schemeClr val="accent2">
        <a:alpha val="80000"/>
      </a:schemeClr>
    </dgm:fillClrLst>
    <dgm:linClrLst meth="repeat">
      <a:schemeClr val="lt1"/>
    </dgm:linClrLst>
    <dgm:effectClrLst/>
    <dgm:txLinClrLst/>
    <dgm:txFillClrLst/>
    <dgm:txEffectClrLst/>
  </dgm:styleLbl>
  <dgm:styleLbl name="node1">
    <dgm:fillClrLst>
      <a:schemeClr val="accent2">
        <a:alpha val="90000"/>
      </a:schemeClr>
      <a:schemeClr val="accent2">
        <a:alpha val="50000"/>
      </a:schemeClr>
    </dgm:fillClrLst>
    <dgm:linClrLst meth="repeat">
      <a:schemeClr val="lt1"/>
    </dgm:linClrLst>
    <dgm:effectClrLst/>
    <dgm:txLinClrLst/>
    <dgm:txFillClrLst/>
    <dgm:txEffectClrLst/>
  </dgm:styleLbl>
  <dgm:styleLbl name="alignNode1">
    <dgm:fillClrLst>
      <a:schemeClr val="accent2">
        <a:alpha val="90000"/>
      </a:schemeClr>
      <a:schemeClr val="accent2">
        <a:alpha val="50000"/>
      </a:schemeClr>
    </dgm:fillClrLst>
    <dgm:linClrLst>
      <a:schemeClr val="accent2">
        <a:alpha val="90000"/>
      </a:schemeClr>
      <a:schemeClr val="accent2">
        <a:alpha val="50000"/>
      </a:schemeClr>
    </dgm:linClrLst>
    <dgm:effectClrLst/>
    <dgm:txLinClrLst/>
    <dgm:txFillClrLst/>
    <dgm:txEffectClrLst/>
  </dgm:styleLbl>
  <dgm:styleLbl name="lnNode1">
    <dgm:fillClrLst>
      <a:schemeClr val="accent2">
        <a:shade val="90000"/>
      </a:schemeClr>
      <a:schemeClr val="accent2">
        <a:alpha val="50000"/>
        <a:tint val="50000"/>
      </a:schemeClr>
    </dgm:fillClrLst>
    <dgm:linClrLst meth="repeat">
      <a:schemeClr val="lt1"/>
    </dgm:linClrLst>
    <dgm:effectClrLst/>
    <dgm:txLinClrLst/>
    <dgm:txFillClrLst/>
    <dgm:txEffectClrLst/>
  </dgm:styleLbl>
  <dgm:styleLbl name="vennNode1">
    <dgm:fillClrLst>
      <a:schemeClr val="accent2">
        <a:shade val="80000"/>
        <a:alpha val="50000"/>
      </a:schemeClr>
      <a:schemeClr val="accent2">
        <a:alpha val="20000"/>
      </a:schemeClr>
    </dgm:fillClrLst>
    <dgm:linClrLst meth="repeat">
      <a:schemeClr val="lt1"/>
    </dgm:linClrLst>
    <dgm:effectClrLst/>
    <dgm:txLinClrLst/>
    <dgm:txFillClrLst/>
    <dgm:txEffectClrLst/>
  </dgm:styleLbl>
  <dgm:styleLbl name="node2">
    <dgm:fillClrLst>
      <a:schemeClr val="accent2">
        <a:alpha val="70000"/>
      </a:schemeClr>
    </dgm:fillClrLst>
    <dgm:linClrLst meth="repeat">
      <a:schemeClr val="lt1"/>
    </dgm:linClrLst>
    <dgm:effectClrLst/>
    <dgm:txLinClrLst/>
    <dgm:txFillClrLst/>
    <dgm:txEffectClrLst/>
  </dgm:styleLbl>
  <dgm:styleLbl name="node3">
    <dgm:fillClrLst>
      <a:schemeClr val="accent2">
        <a:alpha val="50000"/>
      </a:schemeClr>
    </dgm:fillClrLst>
    <dgm:linClrLst meth="repeat">
      <a:schemeClr val="lt1"/>
    </dgm:linClrLst>
    <dgm:effectClrLst/>
    <dgm:txLinClrLst/>
    <dgm:txFillClrLst/>
    <dgm:txEffectClrLst/>
  </dgm:styleLbl>
  <dgm:styleLbl name="node4">
    <dgm:fillClrLst>
      <a:schemeClr val="accent2">
        <a:alpha val="30000"/>
      </a:schemeClr>
    </dgm:fillClrLst>
    <dgm:linClrLst meth="repeat">
      <a:schemeClr val="lt1"/>
    </dgm:linClrLst>
    <dgm:effectClrLst/>
    <dgm:txLinClrLst/>
    <dgm:txFillClrLst/>
    <dgm:txEffectClrLst/>
  </dgm:styleLbl>
  <dgm:styleLbl name="fgImgPlace1">
    <dgm:fillClrLst>
      <a:schemeClr val="accent2">
        <a:tint val="50000"/>
        <a:alpha val="90000"/>
      </a:schemeClr>
      <a:schemeClr val="accent2">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f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bgSibTrans2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dgm:txEffectClrLst/>
  </dgm:styleLbl>
  <dgm:styleLbl name="sibTrans1D1">
    <dgm:fillClrLst>
      <a:schemeClr val="accent2">
        <a:shade val="90000"/>
      </a:schemeClr>
      <a:schemeClr val="accent2">
        <a:tint val="50000"/>
      </a:schemeClr>
    </dgm:fillClrLst>
    <dgm:linClrLst>
      <a:schemeClr val="accent2">
        <a:shade val="90000"/>
      </a:schemeClr>
      <a:schemeClr val="accent2">
        <a:tint val="50000"/>
      </a:schemeClr>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accent2">
        <a:alpha val="90000"/>
      </a:schemeClr>
    </dgm:fillClrLst>
    <dgm:linClrLst meth="repeat">
      <a:schemeClr val="lt1"/>
    </dgm:linClrLst>
    <dgm:effectClrLst/>
    <dgm:txLinClrLst/>
    <dgm:txFillClrLst/>
    <dgm:txEffectClrLst/>
  </dgm:styleLbl>
  <dgm:styleLbl name="asst1">
    <dgm:fillClrLst meth="repeat">
      <a:schemeClr val="accent2">
        <a:alpha val="90000"/>
      </a:schemeClr>
    </dgm:fillClrLst>
    <dgm:linClrLst meth="repeat">
      <a:schemeClr val="lt1"/>
    </dgm:linClrLst>
    <dgm:effectClrLst/>
    <dgm:txLinClrLst/>
    <dgm:txFillClrLst/>
    <dgm:txEffectClrLst/>
  </dgm:styleLbl>
  <dgm:styleLbl name="asst2">
    <dgm:fillClrLst>
      <a:schemeClr val="accent2">
        <a:alpha val="90000"/>
      </a:schemeClr>
    </dgm:fillClrLst>
    <dgm:linClrLst meth="repeat">
      <a:schemeClr val="lt1"/>
    </dgm:linClrLst>
    <dgm:effectClrLst/>
    <dgm:txLinClrLst/>
    <dgm:txFillClrLst/>
    <dgm:txEffectClrLst/>
  </dgm:styleLbl>
  <dgm:styleLbl name="asst3">
    <dgm:fillClrLst>
      <a:schemeClr val="accent2">
        <a:alpha val="70000"/>
      </a:schemeClr>
    </dgm:fillClrLst>
    <dgm:linClrLst meth="repeat">
      <a:schemeClr val="lt1"/>
    </dgm:linClrLst>
    <dgm:effectClrLst/>
    <dgm:txLinClrLst/>
    <dgm:txFillClrLst/>
    <dgm:txEffectClrLst/>
  </dgm:styleLbl>
  <dgm:styleLbl name="asst4">
    <dgm:fillClrLst>
      <a:schemeClr val="accent2">
        <a:alpha val="50000"/>
      </a:schemeClr>
    </dgm:fillClrLst>
    <dgm:linClrLst meth="repeat">
      <a:schemeClr val="lt1"/>
    </dgm:linClrLst>
    <dgm:effectClrLst/>
    <dgm:txLinClrLst/>
    <dgm:txFillClrLst/>
    <dgm:txEffectClrLst/>
  </dgm:styleLbl>
  <dgm:styleLbl name="parChTrans2D1">
    <dgm:fillClrLst meth="repeat">
      <a:schemeClr val="accent2">
        <a:shade val="80000"/>
      </a:schemeClr>
    </dgm:fillClrLst>
    <dgm:linClrLst meth="repeat">
      <a:schemeClr val="accent2">
        <a:shade val="80000"/>
      </a:schemeClr>
    </dgm:linClrLst>
    <dgm:effectClrLst/>
    <dgm:txLinClrLst/>
    <dgm:txFillClrLst/>
    <dgm:txEffectClrLst/>
  </dgm:styleLbl>
  <dgm:styleLbl name="parChTrans2D2">
    <dgm:fillClrLst meth="repeat">
      <a:schemeClr val="accent2">
        <a:tint val="90000"/>
      </a:schemeClr>
    </dgm:fillClrLst>
    <dgm:linClrLst meth="repeat">
      <a:schemeClr val="accent2">
        <a:tint val="90000"/>
      </a:schemeClr>
    </dgm:linClrLst>
    <dgm:effectClrLst/>
    <dgm:txLinClrLst/>
    <dgm:txFillClrLst/>
    <dgm:txEffectClrLst/>
  </dgm:styleLbl>
  <dgm:styleLbl name="parChTrans2D3">
    <dgm:fillClrLst meth="repeat">
      <a:schemeClr val="accent2">
        <a:tint val="70000"/>
      </a:schemeClr>
    </dgm:fillClrLst>
    <dgm:linClrLst meth="repeat">
      <a:schemeClr val="accent2">
        <a:tint val="70000"/>
      </a:schemeClr>
    </dgm:linClrLst>
    <dgm:effectClrLst/>
    <dgm:txLinClrLst/>
    <dgm:txFillClrLst/>
    <dgm:txEffectClrLst/>
  </dgm:styleLbl>
  <dgm:styleLbl name="parChTrans2D4">
    <dgm:fillClrLst meth="repeat">
      <a:schemeClr val="accent2">
        <a:tint val="50000"/>
      </a:schemeClr>
    </dgm:fillClrLst>
    <dgm:linClrLst meth="repeat">
      <a:schemeClr val="accent2">
        <a:tint val="50000"/>
      </a:schemeClr>
    </dgm:linClrLst>
    <dgm:effectClrLst/>
    <dgm:txLinClrLst/>
    <dgm:txFillClrLst meth="repeat">
      <a:schemeClr val="dk1"/>
    </dgm:txFillClrLst>
    <dgm:txEffectClrLst/>
  </dgm:styleLbl>
  <dgm:styleLbl name="parChTrans1D1">
    <dgm:fillClrLst meth="repeat">
      <a:schemeClr val="accent2">
        <a:shade val="80000"/>
      </a:schemeClr>
    </dgm:fillClrLst>
    <dgm:linClrLst meth="repeat">
      <a:schemeClr val="accent2">
        <a:shade val="80000"/>
      </a:schemeClr>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2">
        <a:tint val="90000"/>
      </a:schemeClr>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2">
        <a:tint val="70000"/>
      </a:schemeClr>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2">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2">
        <a:alpha val="90000"/>
      </a:schemeClr>
      <a:schemeClr val="accent2">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a:schemeClr val="accent2">
        <a:alpha val="90000"/>
        <a:tint val="40000"/>
      </a:schemeClr>
      <a:schemeClr val="accent2">
        <a:alpha val="5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alignAccFollowNode1">
    <dgm:fillClrLst meth="repeat">
      <a:schemeClr val="accent2">
        <a:alpha val="90000"/>
        <a:tint val="40000"/>
      </a:schemeClr>
    </dgm:fillClrLst>
    <dgm:linClrLst meth="repeat">
      <a:schemeClr val="accent2">
        <a:alpha val="90000"/>
        <a:tint val="40000"/>
      </a:schemeClr>
    </dgm:linClrLst>
    <dgm:effectClrLst/>
    <dgm:txLinClrLst/>
    <dgm:txFillClrLst meth="repeat">
      <a:schemeClr val="dk1"/>
    </dgm:txFillClrLst>
    <dgm:txEffectClrLst/>
  </dgm:styleLbl>
  <dgm:styleLbl name="bgAccFollowNode1">
    <dgm:fillClrLst meth="repeat">
      <a:schemeClr val="accent2">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2">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2">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2">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2">
        <a:tint val="50000"/>
      </a:schemeClr>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4CBDE18-9E2C-4AB0-B5FB-93446F83747E}" type="doc">
      <dgm:prSet loTypeId="urn:microsoft.com/office/officeart/2005/8/layout/target1" loCatId="relationship" qsTypeId="urn:microsoft.com/office/officeart/2005/8/quickstyle/simple1" qsCatId="simple" csTypeId="urn:microsoft.com/office/officeart/2005/8/colors/accent2_5" csCatId="accent2" phldr="1"/>
      <dgm:spPr/>
    </dgm:pt>
    <dgm:pt modelId="{FB3FDD61-D1DB-4F94-9B72-C59EE30327C4}">
      <dgm:prSet phldrT="[Texte]" custT="1"/>
      <dgm:spPr>
        <a:xfrm>
          <a:off x="2939482" y="32292"/>
          <a:ext cx="1382354" cy="446714"/>
        </a:xfrm>
        <a:prstGeom prst="rect">
          <a:avLst/>
        </a:prstGeom>
        <a:noFill/>
        <a:ln>
          <a:noFill/>
        </a:ln>
        <a:effectLst/>
      </dgm:spPr>
      <dgm:t>
        <a:bodyPr/>
        <a:lstStyle/>
        <a:p>
          <a:pPr>
            <a:buNone/>
          </a:pPr>
          <a:r>
            <a:rPr lang="fr-FR" sz="900" dirty="0">
              <a:solidFill>
                <a:srgbClr val="000000"/>
              </a:solidFill>
              <a:latin typeface="Lato" panose="020F0502020204030203" pitchFamily="34" charset="0"/>
              <a:ea typeface="Lato" panose="020F0502020204030203" pitchFamily="34" charset="0"/>
              <a:cs typeface="Lato" panose="020F0502020204030203" pitchFamily="34" charset="0"/>
            </a:rPr>
            <a:t>0 à 2 salariés</a:t>
          </a:r>
        </a:p>
      </dgm:t>
    </dgm:pt>
    <dgm:pt modelId="{362633C7-9962-46B9-9AC8-A3D2E5B34CD9}" type="parTrans" cxnId="{7CB77627-BA67-49DE-96F1-6CAC2C623AC1}">
      <dgm:prSet/>
      <dgm:spPr/>
      <dgm:t>
        <a:bodyPr/>
        <a:lstStyle/>
        <a:p>
          <a:endParaRPr lang="fr-FR" sz="1400">
            <a:solidFill>
              <a:schemeClr val="tx1"/>
            </a:solidFill>
          </a:endParaRPr>
        </a:p>
      </dgm:t>
    </dgm:pt>
    <dgm:pt modelId="{6C39F424-4E73-435A-AE12-36CB20CE2167}" type="sibTrans" cxnId="{7CB77627-BA67-49DE-96F1-6CAC2C623AC1}">
      <dgm:prSet/>
      <dgm:spPr/>
      <dgm:t>
        <a:bodyPr/>
        <a:lstStyle/>
        <a:p>
          <a:endParaRPr lang="fr-FR" sz="1400">
            <a:solidFill>
              <a:schemeClr val="tx1"/>
            </a:solidFill>
          </a:endParaRPr>
        </a:p>
      </dgm:t>
    </dgm:pt>
    <dgm:pt modelId="{41DD617D-D2E1-4158-B744-8FA33513239B}">
      <dgm:prSet phldrT="[Texte]" custT="1"/>
      <dgm:spPr>
        <a:xfrm>
          <a:off x="2934551" y="434541"/>
          <a:ext cx="1779167" cy="446714"/>
        </a:xfrm>
        <a:prstGeom prst="rect">
          <a:avLst/>
        </a:prstGeom>
        <a:noFill/>
        <a:ln>
          <a:noFill/>
        </a:ln>
        <a:effectLst/>
      </dgm:spPr>
      <dgm:t>
        <a:bodyPr/>
        <a:lstStyle/>
        <a:p>
          <a:pPr>
            <a:buNone/>
          </a:pPr>
          <a:r>
            <a:rPr lang="fr-FR" sz="900" dirty="0">
              <a:solidFill>
                <a:srgbClr val="000000"/>
              </a:solidFill>
              <a:latin typeface="Lato" panose="020F0502020204030203" pitchFamily="34" charset="0"/>
              <a:ea typeface="Lato" panose="020F0502020204030203" pitchFamily="34" charset="0"/>
              <a:cs typeface="Lato" panose="020F0502020204030203" pitchFamily="34" charset="0"/>
            </a:rPr>
            <a:t>3 à 9 salariés</a:t>
          </a:r>
        </a:p>
      </dgm:t>
    </dgm:pt>
    <dgm:pt modelId="{4825A2F9-5EA6-4F1D-BFAB-C797EB576E38}" type="parTrans" cxnId="{7B156808-A841-4B63-9A49-6AA8DA467314}">
      <dgm:prSet/>
      <dgm:spPr/>
      <dgm:t>
        <a:bodyPr/>
        <a:lstStyle/>
        <a:p>
          <a:endParaRPr lang="fr-FR" sz="1400">
            <a:solidFill>
              <a:schemeClr val="tx1"/>
            </a:solidFill>
          </a:endParaRPr>
        </a:p>
      </dgm:t>
    </dgm:pt>
    <dgm:pt modelId="{DD0428A2-762C-477B-AE23-9DFB3EBFDE66}" type="sibTrans" cxnId="{7B156808-A841-4B63-9A49-6AA8DA467314}">
      <dgm:prSet/>
      <dgm:spPr/>
      <dgm:t>
        <a:bodyPr/>
        <a:lstStyle/>
        <a:p>
          <a:endParaRPr lang="fr-FR" sz="1400">
            <a:solidFill>
              <a:schemeClr val="tx1"/>
            </a:solidFill>
          </a:endParaRPr>
        </a:p>
      </dgm:t>
    </dgm:pt>
    <dgm:pt modelId="{4578D2D1-30FF-4663-BF27-6F2FC0DCC87C}">
      <dgm:prSet phldrT="[Texte]" custT="1"/>
      <dgm:spPr>
        <a:xfrm>
          <a:off x="2901748" y="888746"/>
          <a:ext cx="2270295" cy="446714"/>
        </a:xfrm>
        <a:prstGeom prst="rect">
          <a:avLst/>
        </a:prstGeom>
        <a:noFill/>
        <a:ln>
          <a:noFill/>
        </a:ln>
        <a:effectLst/>
      </dgm:spPr>
      <dgm:t>
        <a:bodyPr/>
        <a:lstStyle/>
        <a:p>
          <a:pPr>
            <a:buNone/>
          </a:pPr>
          <a:r>
            <a:rPr lang="fr-FR" sz="900" dirty="0">
              <a:solidFill>
                <a:srgbClr val="000000"/>
              </a:solidFill>
              <a:latin typeface="Lato" panose="020F0502020204030203" pitchFamily="34" charset="0"/>
              <a:ea typeface="Lato" panose="020F0502020204030203" pitchFamily="34" charset="0"/>
              <a:cs typeface="Lato" panose="020F0502020204030203" pitchFamily="34" charset="0"/>
            </a:rPr>
            <a:t>10 à 24 salariés</a:t>
          </a:r>
        </a:p>
      </dgm:t>
    </dgm:pt>
    <dgm:pt modelId="{5FCD08E8-1FC0-4CA9-9CFC-B1D796EF9E60}" type="parTrans" cxnId="{C02A8107-4DAF-41F3-9FF2-0F978193D786}">
      <dgm:prSet/>
      <dgm:spPr/>
      <dgm:t>
        <a:bodyPr/>
        <a:lstStyle/>
        <a:p>
          <a:endParaRPr lang="fr-FR" sz="1400">
            <a:solidFill>
              <a:schemeClr val="tx1"/>
            </a:solidFill>
          </a:endParaRPr>
        </a:p>
      </dgm:t>
    </dgm:pt>
    <dgm:pt modelId="{FB64D2F5-C728-4064-81AE-BD880A464BCF}" type="sibTrans" cxnId="{C02A8107-4DAF-41F3-9FF2-0F978193D786}">
      <dgm:prSet/>
      <dgm:spPr/>
      <dgm:t>
        <a:bodyPr/>
        <a:lstStyle/>
        <a:p>
          <a:endParaRPr lang="fr-FR" sz="1400">
            <a:solidFill>
              <a:schemeClr val="tx1"/>
            </a:solidFill>
          </a:endParaRPr>
        </a:p>
      </dgm:t>
    </dgm:pt>
    <dgm:pt modelId="{77E3C4DA-99CD-4BD3-ABDC-1BFDD71B28FC}">
      <dgm:prSet phldrT="[Texte]" custT="1"/>
      <dgm:spPr>
        <a:xfrm>
          <a:off x="2928261" y="1335371"/>
          <a:ext cx="2057422" cy="446714"/>
        </a:xfrm>
        <a:prstGeom prst="rect">
          <a:avLst/>
        </a:prstGeom>
        <a:noFill/>
        <a:ln>
          <a:noFill/>
        </a:ln>
        <a:effectLst/>
      </dgm:spPr>
      <dgm:t>
        <a:bodyPr/>
        <a:lstStyle/>
        <a:p>
          <a:pPr>
            <a:buNone/>
          </a:pPr>
          <a:r>
            <a:rPr lang="fr-FR" sz="900" dirty="0">
              <a:solidFill>
                <a:srgbClr val="000000"/>
              </a:solidFill>
              <a:latin typeface="Lato" panose="020F0502020204030203" pitchFamily="34" charset="0"/>
              <a:ea typeface="Lato" panose="020F0502020204030203" pitchFamily="34" charset="0"/>
              <a:cs typeface="Lato" panose="020F0502020204030203" pitchFamily="34" charset="0"/>
            </a:rPr>
            <a:t>25</a:t>
          </a:r>
          <a:r>
            <a:rPr lang="fr-FR" sz="900" baseline="0" dirty="0">
              <a:solidFill>
                <a:srgbClr val="000000"/>
              </a:solidFill>
              <a:latin typeface="Lato" panose="020F0502020204030203" pitchFamily="34" charset="0"/>
              <a:ea typeface="Lato" panose="020F0502020204030203" pitchFamily="34" charset="0"/>
              <a:cs typeface="Lato" panose="020F0502020204030203" pitchFamily="34" charset="0"/>
            </a:rPr>
            <a:t> salariés et +</a:t>
          </a:r>
          <a:endParaRPr lang="fr-FR" sz="900" dirty="0">
            <a:solidFill>
              <a:srgbClr val="000000"/>
            </a:solidFill>
            <a:latin typeface="Lato" panose="020F0502020204030203" pitchFamily="34" charset="0"/>
            <a:ea typeface="Lato" panose="020F0502020204030203" pitchFamily="34" charset="0"/>
            <a:cs typeface="Lato" panose="020F0502020204030203" pitchFamily="34" charset="0"/>
          </a:endParaRPr>
        </a:p>
      </dgm:t>
    </dgm:pt>
    <dgm:pt modelId="{0C34E422-292B-4130-89F1-5C7086DCC1DA}" type="parTrans" cxnId="{DD3C1804-A112-4F47-B021-838B2E0FF273}">
      <dgm:prSet/>
      <dgm:spPr/>
      <dgm:t>
        <a:bodyPr/>
        <a:lstStyle/>
        <a:p>
          <a:endParaRPr lang="fr-FR" sz="1400">
            <a:solidFill>
              <a:schemeClr val="tx1"/>
            </a:solidFill>
          </a:endParaRPr>
        </a:p>
      </dgm:t>
    </dgm:pt>
    <dgm:pt modelId="{95CA61E7-55CB-4F1F-9337-1C07466E92D1}" type="sibTrans" cxnId="{DD3C1804-A112-4F47-B021-838B2E0FF273}">
      <dgm:prSet/>
      <dgm:spPr/>
      <dgm:t>
        <a:bodyPr/>
        <a:lstStyle/>
        <a:p>
          <a:endParaRPr lang="fr-FR" sz="1400">
            <a:solidFill>
              <a:schemeClr val="tx1"/>
            </a:solidFill>
          </a:endParaRPr>
        </a:p>
      </dgm:t>
    </dgm:pt>
    <dgm:pt modelId="{840A6CF0-67E4-43A5-A5B8-477E41E141B7}" type="pres">
      <dgm:prSet presAssocID="{74CBDE18-9E2C-4AB0-B5FB-93446F83747E}" presName="composite" presStyleCnt="0">
        <dgm:presLayoutVars>
          <dgm:chMax val="5"/>
          <dgm:dir/>
          <dgm:resizeHandles val="exact"/>
        </dgm:presLayoutVars>
      </dgm:prSet>
      <dgm:spPr/>
    </dgm:pt>
    <dgm:pt modelId="{1924D764-2BDF-409E-9D19-764A7B2488F2}" type="pres">
      <dgm:prSet presAssocID="{FB3FDD61-D1DB-4F94-9B72-C59EE30327C4}" presName="circle1" presStyleLbl="lnNode1" presStyleIdx="0" presStyleCnt="4"/>
      <dgm:spPr>
        <a:xfrm>
          <a:off x="1543579" y="1423103"/>
          <a:ext cx="266783" cy="266783"/>
        </a:xfrm>
        <a:prstGeom prst="ellipse">
          <a:avLst/>
        </a:prstGeom>
        <a:solidFill>
          <a:srgbClr val="92D050"/>
        </a:solidFill>
        <a:ln w="12700" cap="flat" cmpd="sng" algn="ctr">
          <a:solidFill>
            <a:srgbClr val="FFFFFF">
              <a:hueOff val="0"/>
              <a:satOff val="0"/>
              <a:lumOff val="0"/>
              <a:alphaOff val="0"/>
            </a:srgbClr>
          </a:solidFill>
          <a:prstDash val="solid"/>
          <a:miter lim="800000"/>
        </a:ln>
        <a:effectLst/>
      </dgm:spPr>
    </dgm:pt>
    <dgm:pt modelId="{70E639F3-4081-4ED4-9799-D8B1FF4BFDB3}" type="pres">
      <dgm:prSet presAssocID="{FB3FDD61-D1DB-4F94-9B72-C59EE30327C4}" presName="text1" presStyleLbl="revTx" presStyleIdx="0" presStyleCnt="4" custScaleX="226019" custScaleY="82303" custLinFactNeighborX="86866" custLinFactNeighborY="3586">
        <dgm:presLayoutVars>
          <dgm:bulletEnabled val="1"/>
        </dgm:presLayoutVars>
      </dgm:prSet>
      <dgm:spPr/>
    </dgm:pt>
    <dgm:pt modelId="{0C3904E1-F22C-4E8E-8703-969700771F1F}" type="pres">
      <dgm:prSet presAssocID="{FB3FDD61-D1DB-4F94-9B72-C59EE30327C4}" presName="line1" presStyleLbl="callout" presStyleIdx="0" presStyleCnt="8"/>
      <dgm:spPr>
        <a:xfrm>
          <a:off x="2688693" y="223357"/>
          <a:ext cx="233474"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142077FA-D5C1-4738-B24D-A76B21F419BB}" type="pres">
      <dgm:prSet presAssocID="{FB3FDD61-D1DB-4F94-9B72-C59EE30327C4}" presName="d1" presStyleLbl="callout" presStyleIdx="1" presStyleCnt="8"/>
      <dgm:spPr>
        <a:xfrm rot="5400000">
          <a:off x="1515095" y="370445"/>
          <a:ext cx="1319908" cy="1027287"/>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95E713C8-9027-4A1D-B42D-F6F0F4BE1915}" type="pres">
      <dgm:prSet presAssocID="{41DD617D-D2E1-4158-B744-8FA33513239B}" presName="circle2" presStyleLbl="lnNode1" presStyleIdx="1" presStyleCnt="4"/>
      <dgm:spPr>
        <a:xfrm>
          <a:off x="1276796" y="1156320"/>
          <a:ext cx="800350" cy="800350"/>
        </a:xfrm>
        <a:prstGeom prst="ellipse">
          <a:avLst/>
        </a:prstGeom>
        <a:solidFill>
          <a:srgbClr val="FFC000"/>
        </a:solidFill>
        <a:ln w="12700" cap="flat" cmpd="sng" algn="ctr">
          <a:solidFill>
            <a:srgbClr val="FFFFFF">
              <a:hueOff val="0"/>
              <a:satOff val="0"/>
              <a:lumOff val="0"/>
              <a:alphaOff val="0"/>
            </a:srgbClr>
          </a:solidFill>
          <a:prstDash val="solid"/>
          <a:miter lim="800000"/>
        </a:ln>
        <a:effectLst/>
      </dgm:spPr>
    </dgm:pt>
    <dgm:pt modelId="{A03EF8B9-95F7-498F-954A-92EAFAAB4E18}" type="pres">
      <dgm:prSet presAssocID="{41DD617D-D2E1-4158-B744-8FA33513239B}" presName="text2" presStyleLbl="revTx" presStyleIdx="1" presStyleCnt="4" custScaleX="216169" custScaleY="39503" custLinFactNeighborX="85274" custLinFactNeighborY="-2725">
        <dgm:presLayoutVars>
          <dgm:bulletEnabled val="1"/>
        </dgm:presLayoutVars>
      </dgm:prSet>
      <dgm:spPr/>
    </dgm:pt>
    <dgm:pt modelId="{20449E2A-025B-4C6B-885A-E92E673E3751}" type="pres">
      <dgm:prSet presAssocID="{41DD617D-D2E1-4158-B744-8FA33513239B}" presName="line2" presStyleLbl="callout" presStyleIdx="2" presStyleCnt="8"/>
      <dgm:spPr>
        <a:xfrm>
          <a:off x="2688693" y="670071"/>
          <a:ext cx="233474"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1C4DFA75-0810-4DE1-960F-134D5AF468DA}" type="pres">
      <dgm:prSet presAssocID="{41DD617D-D2E1-4158-B744-8FA33513239B}" presName="d2" presStyleLbl="callout" presStyleIdx="3" presStyleCnt="8"/>
      <dgm:spPr>
        <a:xfrm rot="5400000">
          <a:off x="1743589" y="809844"/>
          <a:ext cx="1083943" cy="804708"/>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A8BFBE67-4C06-446F-A70A-25A24A85994C}" type="pres">
      <dgm:prSet presAssocID="{4578D2D1-30FF-4663-BF27-6F2FC0DCC87C}" presName="circle3" presStyleLbl="lnNode1" presStyleIdx="2" presStyleCnt="4"/>
      <dgm:spPr>
        <a:xfrm>
          <a:off x="1010012" y="889537"/>
          <a:ext cx="1333916" cy="1333916"/>
        </a:xfrm>
        <a:prstGeom prst="ellipse">
          <a:avLst/>
        </a:prstGeom>
        <a:solidFill>
          <a:srgbClr val="FF0000"/>
        </a:solidFill>
        <a:ln w="12700" cap="flat" cmpd="sng" algn="ctr">
          <a:solidFill>
            <a:srgbClr val="FFFFFF">
              <a:hueOff val="0"/>
              <a:satOff val="0"/>
              <a:lumOff val="0"/>
              <a:alphaOff val="0"/>
            </a:srgbClr>
          </a:solidFill>
          <a:prstDash val="solid"/>
          <a:miter lim="800000"/>
        </a:ln>
        <a:effectLst/>
      </dgm:spPr>
    </dgm:pt>
    <dgm:pt modelId="{376A7252-E8C0-42DC-8286-4ABD3024FE51}" type="pres">
      <dgm:prSet presAssocID="{4578D2D1-30FF-4663-BF27-6F2FC0DCC87C}" presName="text3" presStyleLbl="revTx" presStyleIdx="2" presStyleCnt="4" custScaleX="231124" custScaleY="100248" custLinFactNeighborX="91286" custLinFactNeighborY="-3680">
        <dgm:presLayoutVars>
          <dgm:bulletEnabled val="1"/>
        </dgm:presLayoutVars>
      </dgm:prSet>
      <dgm:spPr/>
    </dgm:pt>
    <dgm:pt modelId="{0B3FE0B3-EF2A-4E25-BA5E-1EA40B10B14F}" type="pres">
      <dgm:prSet presAssocID="{4578D2D1-30FF-4663-BF27-6F2FC0DCC87C}" presName="line3" presStyleLbl="callout" presStyleIdx="4" presStyleCnt="8"/>
      <dgm:spPr>
        <a:xfrm>
          <a:off x="2688693" y="1116785"/>
          <a:ext cx="233474"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9B7E854B-0DEE-4627-B2AF-D31CE9C06105}" type="pres">
      <dgm:prSet presAssocID="{4578D2D1-30FF-4663-BF27-6F2FC0DCC87C}" presName="d3" presStyleLbl="callout" presStyleIdx="5" presStyleCnt="8"/>
      <dgm:spPr>
        <a:xfrm rot="5400000">
          <a:off x="1964767" y="1219358"/>
          <a:ext cx="826810" cy="621041"/>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0FF0D1B7-CF89-45A2-942A-3C0A01901422}" type="pres">
      <dgm:prSet presAssocID="{77E3C4DA-99CD-4BD3-ABDC-1BFDD71B28FC}" presName="circle4" presStyleLbl="lnNode1" presStyleIdx="3" presStyleCnt="4" custLinFactNeighborX="1086" custLinFactNeighborY="1770"/>
      <dgm:spPr>
        <a:xfrm>
          <a:off x="763358" y="622598"/>
          <a:ext cx="1867794" cy="1867794"/>
        </a:xfrm>
        <a:prstGeom prst="ellipse">
          <a:avLst/>
        </a:prstGeom>
        <a:solidFill>
          <a:srgbClr val="000000"/>
        </a:solidFill>
        <a:ln w="12700" cap="flat" cmpd="sng" algn="ctr">
          <a:solidFill>
            <a:srgbClr val="FFFFFF">
              <a:hueOff val="0"/>
              <a:satOff val="0"/>
              <a:lumOff val="0"/>
              <a:alphaOff val="0"/>
            </a:srgbClr>
          </a:solidFill>
          <a:prstDash val="solid"/>
          <a:miter lim="800000"/>
        </a:ln>
        <a:effectLst/>
      </dgm:spPr>
    </dgm:pt>
    <dgm:pt modelId="{DBAD964A-4A59-4611-9897-38D8F44C73FF}" type="pres">
      <dgm:prSet presAssocID="{77E3C4DA-99CD-4BD3-ABDC-1BFDD71B28FC}" presName="text4" presStyleLbl="revTx" presStyleIdx="3" presStyleCnt="4" custScaleX="251208" custScaleY="125100" custLinFactX="5252" custLinFactNeighborX="100000" custLinFactNeighborY="-5493">
        <dgm:presLayoutVars>
          <dgm:bulletEnabled val="1"/>
        </dgm:presLayoutVars>
      </dgm:prSet>
      <dgm:spPr/>
    </dgm:pt>
    <dgm:pt modelId="{B78AF44F-B2CF-4F9C-A9FE-9C65EE4185B4}" type="pres">
      <dgm:prSet presAssocID="{77E3C4DA-99CD-4BD3-ABDC-1BFDD71B28FC}" presName="line4" presStyleLbl="callout" presStyleIdx="6" presStyleCnt="8"/>
      <dgm:spPr>
        <a:xfrm>
          <a:off x="2688693" y="1563499"/>
          <a:ext cx="233474"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 modelId="{3225F042-850A-4C33-9BC6-7278DEA26CD4}" type="pres">
      <dgm:prSet presAssocID="{77E3C4DA-99CD-4BD3-ABDC-1BFDD71B28FC}" presName="d4" presStyleLbl="callout" presStyleIdx="7" presStyleCnt="8"/>
      <dgm:spPr>
        <a:xfrm rot="5400000">
          <a:off x="2186474" y="1630491"/>
          <a:ext cx="568307" cy="43395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gm:spPr>
    </dgm:pt>
  </dgm:ptLst>
  <dgm:cxnLst>
    <dgm:cxn modelId="{DD3C1804-A112-4F47-B021-838B2E0FF273}" srcId="{74CBDE18-9E2C-4AB0-B5FB-93446F83747E}" destId="{77E3C4DA-99CD-4BD3-ABDC-1BFDD71B28FC}" srcOrd="3" destOrd="0" parTransId="{0C34E422-292B-4130-89F1-5C7086DCC1DA}" sibTransId="{95CA61E7-55CB-4F1F-9337-1C07466E92D1}"/>
    <dgm:cxn modelId="{C02A8107-4DAF-41F3-9FF2-0F978193D786}" srcId="{74CBDE18-9E2C-4AB0-B5FB-93446F83747E}" destId="{4578D2D1-30FF-4663-BF27-6F2FC0DCC87C}" srcOrd="2" destOrd="0" parTransId="{5FCD08E8-1FC0-4CA9-9CFC-B1D796EF9E60}" sibTransId="{FB64D2F5-C728-4064-81AE-BD880A464BCF}"/>
    <dgm:cxn modelId="{7B156808-A841-4B63-9A49-6AA8DA467314}" srcId="{74CBDE18-9E2C-4AB0-B5FB-93446F83747E}" destId="{41DD617D-D2E1-4158-B744-8FA33513239B}" srcOrd="1" destOrd="0" parTransId="{4825A2F9-5EA6-4F1D-BFAB-C797EB576E38}" sibTransId="{DD0428A2-762C-477B-AE23-9DFB3EBFDE66}"/>
    <dgm:cxn modelId="{EA946311-99D5-4C1E-A43B-69C63FFD8094}" type="presOf" srcId="{4578D2D1-30FF-4663-BF27-6F2FC0DCC87C}" destId="{376A7252-E8C0-42DC-8286-4ABD3024FE51}" srcOrd="0" destOrd="0" presId="urn:microsoft.com/office/officeart/2005/8/layout/target1"/>
    <dgm:cxn modelId="{5CEF1321-E199-4350-A19F-C5CBA7A52ABF}" type="presOf" srcId="{74CBDE18-9E2C-4AB0-B5FB-93446F83747E}" destId="{840A6CF0-67E4-43A5-A5B8-477E41E141B7}" srcOrd="0" destOrd="0" presId="urn:microsoft.com/office/officeart/2005/8/layout/target1"/>
    <dgm:cxn modelId="{CB8EC525-418C-46C2-92B5-E04AD4D70553}" type="presOf" srcId="{41DD617D-D2E1-4158-B744-8FA33513239B}" destId="{A03EF8B9-95F7-498F-954A-92EAFAAB4E18}" srcOrd="0" destOrd="0" presId="urn:microsoft.com/office/officeart/2005/8/layout/target1"/>
    <dgm:cxn modelId="{7CB77627-BA67-49DE-96F1-6CAC2C623AC1}" srcId="{74CBDE18-9E2C-4AB0-B5FB-93446F83747E}" destId="{FB3FDD61-D1DB-4F94-9B72-C59EE30327C4}" srcOrd="0" destOrd="0" parTransId="{362633C7-9962-46B9-9AC8-A3D2E5B34CD9}" sibTransId="{6C39F424-4E73-435A-AE12-36CB20CE2167}"/>
    <dgm:cxn modelId="{0A149331-CCC5-4BCC-B6DE-746767EE0EBC}" type="presOf" srcId="{77E3C4DA-99CD-4BD3-ABDC-1BFDD71B28FC}" destId="{DBAD964A-4A59-4611-9897-38D8F44C73FF}" srcOrd="0" destOrd="0" presId="urn:microsoft.com/office/officeart/2005/8/layout/target1"/>
    <dgm:cxn modelId="{73586047-FC8A-4E3E-AEF9-2774DE12A7EE}" type="presOf" srcId="{FB3FDD61-D1DB-4F94-9B72-C59EE30327C4}" destId="{70E639F3-4081-4ED4-9799-D8B1FF4BFDB3}" srcOrd="0" destOrd="0" presId="urn:microsoft.com/office/officeart/2005/8/layout/target1"/>
    <dgm:cxn modelId="{1028124E-B35D-4E34-8806-E4F85A76B9DD}" type="presParOf" srcId="{840A6CF0-67E4-43A5-A5B8-477E41E141B7}" destId="{1924D764-2BDF-409E-9D19-764A7B2488F2}" srcOrd="0" destOrd="0" presId="urn:microsoft.com/office/officeart/2005/8/layout/target1"/>
    <dgm:cxn modelId="{79DEF04F-8C09-4334-95F6-0FDAD2D4FFD9}" type="presParOf" srcId="{840A6CF0-67E4-43A5-A5B8-477E41E141B7}" destId="{70E639F3-4081-4ED4-9799-D8B1FF4BFDB3}" srcOrd="1" destOrd="0" presId="urn:microsoft.com/office/officeart/2005/8/layout/target1"/>
    <dgm:cxn modelId="{50193376-C0D3-49F2-9843-894756A5F691}" type="presParOf" srcId="{840A6CF0-67E4-43A5-A5B8-477E41E141B7}" destId="{0C3904E1-F22C-4E8E-8703-969700771F1F}" srcOrd="2" destOrd="0" presId="urn:microsoft.com/office/officeart/2005/8/layout/target1"/>
    <dgm:cxn modelId="{899DBD73-EA19-406B-8E78-CB7DB1715F06}" type="presParOf" srcId="{840A6CF0-67E4-43A5-A5B8-477E41E141B7}" destId="{142077FA-D5C1-4738-B24D-A76B21F419BB}" srcOrd="3" destOrd="0" presId="urn:microsoft.com/office/officeart/2005/8/layout/target1"/>
    <dgm:cxn modelId="{F0BA5128-B798-4494-B732-2693A95B9BC2}" type="presParOf" srcId="{840A6CF0-67E4-43A5-A5B8-477E41E141B7}" destId="{95E713C8-9027-4A1D-B42D-F6F0F4BE1915}" srcOrd="4" destOrd="0" presId="urn:microsoft.com/office/officeart/2005/8/layout/target1"/>
    <dgm:cxn modelId="{7ECC4BF7-AFF4-4933-9DA6-332893BF0B46}" type="presParOf" srcId="{840A6CF0-67E4-43A5-A5B8-477E41E141B7}" destId="{A03EF8B9-95F7-498F-954A-92EAFAAB4E18}" srcOrd="5" destOrd="0" presId="urn:microsoft.com/office/officeart/2005/8/layout/target1"/>
    <dgm:cxn modelId="{F611AEC4-CEFA-471D-8E25-F3073A501E91}" type="presParOf" srcId="{840A6CF0-67E4-43A5-A5B8-477E41E141B7}" destId="{20449E2A-025B-4C6B-885A-E92E673E3751}" srcOrd="6" destOrd="0" presId="urn:microsoft.com/office/officeart/2005/8/layout/target1"/>
    <dgm:cxn modelId="{55CBD98A-27DE-4EEB-998D-6222442E9240}" type="presParOf" srcId="{840A6CF0-67E4-43A5-A5B8-477E41E141B7}" destId="{1C4DFA75-0810-4DE1-960F-134D5AF468DA}" srcOrd="7" destOrd="0" presId="urn:microsoft.com/office/officeart/2005/8/layout/target1"/>
    <dgm:cxn modelId="{925C5ECD-9148-40B7-8B2B-2BFBC977531F}" type="presParOf" srcId="{840A6CF0-67E4-43A5-A5B8-477E41E141B7}" destId="{A8BFBE67-4C06-446F-A70A-25A24A85994C}" srcOrd="8" destOrd="0" presId="urn:microsoft.com/office/officeart/2005/8/layout/target1"/>
    <dgm:cxn modelId="{0000704B-E00F-4437-BD14-48B0C86CC39E}" type="presParOf" srcId="{840A6CF0-67E4-43A5-A5B8-477E41E141B7}" destId="{376A7252-E8C0-42DC-8286-4ABD3024FE51}" srcOrd="9" destOrd="0" presId="urn:microsoft.com/office/officeart/2005/8/layout/target1"/>
    <dgm:cxn modelId="{E7EE8138-6AAD-4624-952F-9D7F5EFA0E71}" type="presParOf" srcId="{840A6CF0-67E4-43A5-A5B8-477E41E141B7}" destId="{0B3FE0B3-EF2A-4E25-BA5E-1EA40B10B14F}" srcOrd="10" destOrd="0" presId="urn:microsoft.com/office/officeart/2005/8/layout/target1"/>
    <dgm:cxn modelId="{C3170649-1AB1-448F-B942-3C510C8A2048}" type="presParOf" srcId="{840A6CF0-67E4-43A5-A5B8-477E41E141B7}" destId="{9B7E854B-0DEE-4627-B2AF-D31CE9C06105}" srcOrd="11" destOrd="0" presId="urn:microsoft.com/office/officeart/2005/8/layout/target1"/>
    <dgm:cxn modelId="{8D08ED71-73A1-4F18-B0B7-A2A4831957C5}" type="presParOf" srcId="{840A6CF0-67E4-43A5-A5B8-477E41E141B7}" destId="{0FF0D1B7-CF89-45A2-942A-3C0A01901422}" srcOrd="12" destOrd="0" presId="urn:microsoft.com/office/officeart/2005/8/layout/target1"/>
    <dgm:cxn modelId="{DA3C4BF4-1D26-4706-B6CA-D642CF5F399B}" type="presParOf" srcId="{840A6CF0-67E4-43A5-A5B8-477E41E141B7}" destId="{DBAD964A-4A59-4611-9897-38D8F44C73FF}" srcOrd="13" destOrd="0" presId="urn:microsoft.com/office/officeart/2005/8/layout/target1"/>
    <dgm:cxn modelId="{F0635BE2-BCF9-406D-A18E-2D288D49BABA}" type="presParOf" srcId="{840A6CF0-67E4-43A5-A5B8-477E41E141B7}" destId="{B78AF44F-B2CF-4F9C-A9FE-9C65EE4185B4}" srcOrd="14" destOrd="0" presId="urn:microsoft.com/office/officeart/2005/8/layout/target1"/>
    <dgm:cxn modelId="{3CAA356F-B54E-46D7-A729-864BA493CCE1}" type="presParOf" srcId="{840A6CF0-67E4-43A5-A5B8-477E41E141B7}" destId="{3225F042-850A-4C33-9BC6-7278DEA26CD4}" srcOrd="15" destOrd="0" presId="urn:microsoft.com/office/officeart/2005/8/layout/target1"/>
  </dgm:cxnLst>
  <dgm:bg/>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ata2.xml><?xml version="1.0" encoding="utf-8"?>
<dgm:dataModel xmlns:dgm="http://schemas.openxmlformats.org/drawingml/2006/diagram" xmlns:a="http://schemas.openxmlformats.org/drawingml/2006/main">
  <dgm:ptLst>
    <dgm:pt modelId="{48139BD1-19C5-432D-BD56-C2943155ACFC}" type="doc">
      <dgm:prSet loTypeId="urn:microsoft.com/office/officeart/2005/8/layout/cycle2" loCatId="cycle" qsTypeId="urn:microsoft.com/office/officeart/2005/8/quickstyle/simple1" qsCatId="simple" csTypeId="urn:microsoft.com/office/officeart/2005/8/colors/colorful1" csCatId="colorful" phldr="1"/>
      <dgm:spPr/>
      <dgm:t>
        <a:bodyPr/>
        <a:lstStyle/>
        <a:p>
          <a:endParaRPr lang="en-US"/>
        </a:p>
      </dgm:t>
    </dgm:pt>
    <dgm:pt modelId="{551012F5-E6FF-43FE-8C04-0497EB1CC790}">
      <dgm:prSet phldrT="[Text]" custT="1"/>
      <dgm:spPr>
        <a:xfrm>
          <a:off x="2251902" y="741"/>
          <a:ext cx="704434" cy="704434"/>
        </a:xfrm>
        <a:solidFill>
          <a:srgbClr val="16A085"/>
        </a:solidFill>
        <a:ln w="25400" cap="flat" cmpd="sng" algn="ctr">
          <a:solidFill>
            <a:sysClr val="window" lastClr="FFFFFF">
              <a:hueOff val="0"/>
              <a:satOff val="0"/>
              <a:lumOff val="0"/>
              <a:alphaOff val="0"/>
            </a:sysClr>
          </a:solidFill>
          <a:prstDash val="solid"/>
        </a:ln>
        <a:effectLst/>
      </dgm:spPr>
      <dgm:t>
        <a:bodyPr/>
        <a:lstStyle/>
        <a:p>
          <a:r>
            <a:rPr lang="en-US" sz="1600" dirty="0">
              <a:solidFill>
                <a:sysClr val="window" lastClr="FFFFFF"/>
              </a:solidFill>
              <a:latin typeface="Calibri"/>
              <a:ea typeface="+mn-ea"/>
              <a:cs typeface="+mn-cs"/>
            </a:rPr>
            <a:t>1</a:t>
          </a:r>
        </a:p>
      </dgm:t>
    </dgm:pt>
    <dgm:pt modelId="{09048788-B1D6-4F63-B54C-20367F573D3B}" type="parTrans" cxnId="{96D556C4-FED0-488B-9304-DF9CFCA69A54}">
      <dgm:prSet/>
      <dgm:spPr/>
      <dgm:t>
        <a:bodyPr/>
        <a:lstStyle/>
        <a:p>
          <a:endParaRPr lang="en-US" sz="1400"/>
        </a:p>
      </dgm:t>
    </dgm:pt>
    <dgm:pt modelId="{E9FBFB22-E143-426B-8E9F-6BFB795D6516}" type="sibTrans" cxnId="{96D556C4-FED0-488B-9304-DF9CFCA69A54}">
      <dgm:prSet custT="1"/>
      <dgm:spPr>
        <a:xfrm rot="1350000">
          <a:off x="2994366" y="434605"/>
          <a:ext cx="187704" cy="237746"/>
        </a:xfrm>
        <a:solidFill>
          <a:srgbClr val="16A085">
            <a:hueOff val="0"/>
            <a:satOff val="0"/>
            <a:lumOff val="0"/>
            <a:alphaOff val="0"/>
          </a:srgbClr>
        </a:solidFill>
        <a:ln>
          <a:noFill/>
        </a:ln>
        <a:effectLst/>
      </dgm:spPr>
      <dgm:t>
        <a:bodyPr/>
        <a:lstStyle/>
        <a:p>
          <a:endParaRPr lang="en-US" sz="1000">
            <a:solidFill>
              <a:sysClr val="window" lastClr="FFFFFF"/>
            </a:solidFill>
            <a:latin typeface="Calibri"/>
            <a:ea typeface="+mn-ea"/>
            <a:cs typeface="+mn-cs"/>
          </a:endParaRPr>
        </a:p>
      </dgm:t>
    </dgm:pt>
    <dgm:pt modelId="{846571A3-5507-4C3E-AEE6-3872B94A80CB}">
      <dgm:prSet custT="1"/>
      <dgm:spPr>
        <a:solidFill>
          <a:srgbClr val="9BBB59"/>
        </a:solidFill>
      </dgm:spPr>
      <dgm:t>
        <a:bodyPr/>
        <a:lstStyle/>
        <a:p>
          <a:r>
            <a:rPr lang="fr-FR" sz="1600" dirty="0"/>
            <a:t>2</a:t>
          </a:r>
        </a:p>
      </dgm:t>
    </dgm:pt>
    <dgm:pt modelId="{F5C4AF12-A37C-462C-9B71-534B4712534E}" type="parTrans" cxnId="{A3F3085E-1BEE-45BD-881C-FAD4D4F04AA7}">
      <dgm:prSet/>
      <dgm:spPr/>
      <dgm:t>
        <a:bodyPr/>
        <a:lstStyle/>
        <a:p>
          <a:endParaRPr lang="fr-FR" sz="1400"/>
        </a:p>
      </dgm:t>
    </dgm:pt>
    <dgm:pt modelId="{FF43C5A9-74CF-4FEC-9243-E81AB63C2255}" type="sibTrans" cxnId="{A3F3085E-1BEE-45BD-881C-FAD4D4F04AA7}">
      <dgm:prSet custT="1"/>
      <dgm:spPr>
        <a:solidFill>
          <a:srgbClr val="9BBB59"/>
        </a:solidFill>
      </dgm:spPr>
      <dgm:t>
        <a:bodyPr/>
        <a:lstStyle/>
        <a:p>
          <a:endParaRPr lang="fr-FR" sz="1000"/>
        </a:p>
      </dgm:t>
    </dgm:pt>
    <dgm:pt modelId="{6590C1C4-0E77-469E-9854-2319EB9793AE}">
      <dgm:prSet custT="1"/>
      <dgm:spPr>
        <a:solidFill>
          <a:srgbClr val="F39C12"/>
        </a:solidFill>
      </dgm:spPr>
      <dgm:t>
        <a:bodyPr/>
        <a:lstStyle/>
        <a:p>
          <a:r>
            <a:rPr lang="fr-FR" sz="1600" dirty="0"/>
            <a:t>3</a:t>
          </a:r>
        </a:p>
      </dgm:t>
    </dgm:pt>
    <dgm:pt modelId="{ABD6B62B-FD96-41DA-8505-D76C9ECABD50}" type="parTrans" cxnId="{DF00F8FE-C556-4986-BDA1-57EFA993A785}">
      <dgm:prSet/>
      <dgm:spPr/>
      <dgm:t>
        <a:bodyPr/>
        <a:lstStyle/>
        <a:p>
          <a:endParaRPr lang="fr-FR" sz="1400"/>
        </a:p>
      </dgm:t>
    </dgm:pt>
    <dgm:pt modelId="{60EFBEB5-991C-4403-B478-0271B6124E26}" type="sibTrans" cxnId="{DF00F8FE-C556-4986-BDA1-57EFA993A785}">
      <dgm:prSet custT="1"/>
      <dgm:spPr>
        <a:solidFill>
          <a:srgbClr val="F39C12"/>
        </a:solidFill>
      </dgm:spPr>
      <dgm:t>
        <a:bodyPr/>
        <a:lstStyle/>
        <a:p>
          <a:endParaRPr lang="fr-FR" sz="1000" dirty="0"/>
        </a:p>
      </dgm:t>
    </dgm:pt>
    <dgm:pt modelId="{2C6EF24C-7512-4D4D-9483-77D0700F7BED}">
      <dgm:prSet custT="1"/>
      <dgm:spPr>
        <a:solidFill>
          <a:srgbClr val="C0392B"/>
        </a:solidFill>
      </dgm:spPr>
      <dgm:t>
        <a:bodyPr/>
        <a:lstStyle/>
        <a:p>
          <a:r>
            <a:rPr lang="fr-FR" sz="1600" dirty="0"/>
            <a:t>4</a:t>
          </a:r>
        </a:p>
      </dgm:t>
    </dgm:pt>
    <dgm:pt modelId="{BC834D9E-7024-4BB4-8356-01AA56C968E7}" type="parTrans" cxnId="{B865CD0B-7251-48E0-8D92-D61BCC9B43D7}">
      <dgm:prSet/>
      <dgm:spPr/>
      <dgm:t>
        <a:bodyPr/>
        <a:lstStyle/>
        <a:p>
          <a:endParaRPr lang="fr-FR" sz="1400"/>
        </a:p>
      </dgm:t>
    </dgm:pt>
    <dgm:pt modelId="{E6A55936-0250-408B-A803-03EF9D7580DC}" type="sibTrans" cxnId="{B865CD0B-7251-48E0-8D92-D61BCC9B43D7}">
      <dgm:prSet custT="1"/>
      <dgm:spPr>
        <a:solidFill>
          <a:srgbClr val="C0392B"/>
        </a:solidFill>
      </dgm:spPr>
      <dgm:t>
        <a:bodyPr/>
        <a:lstStyle/>
        <a:p>
          <a:endParaRPr lang="fr-FR" sz="1000"/>
        </a:p>
      </dgm:t>
    </dgm:pt>
    <dgm:pt modelId="{8A6BD54E-146D-4FAE-AB2F-B402401DD8DB}">
      <dgm:prSet custT="1"/>
      <dgm:spPr>
        <a:solidFill>
          <a:srgbClr val="7030A0"/>
        </a:solidFill>
      </dgm:spPr>
      <dgm:t>
        <a:bodyPr/>
        <a:lstStyle/>
        <a:p>
          <a:r>
            <a:rPr lang="fr-FR" sz="1600" dirty="0"/>
            <a:t>5</a:t>
          </a:r>
        </a:p>
      </dgm:t>
    </dgm:pt>
    <dgm:pt modelId="{B1F12A60-922F-4D21-B4AC-44A03795BD03}" type="parTrans" cxnId="{A856BC1A-C42B-425D-BFCF-7414FBCC4460}">
      <dgm:prSet/>
      <dgm:spPr/>
      <dgm:t>
        <a:bodyPr/>
        <a:lstStyle/>
        <a:p>
          <a:endParaRPr lang="fr-FR" sz="1400"/>
        </a:p>
      </dgm:t>
    </dgm:pt>
    <dgm:pt modelId="{51568DDF-183E-40FB-A00D-BEABE6278E27}" type="sibTrans" cxnId="{A856BC1A-C42B-425D-BFCF-7414FBCC4460}">
      <dgm:prSet custT="1"/>
      <dgm:spPr>
        <a:solidFill>
          <a:srgbClr val="7030A0"/>
        </a:solidFill>
      </dgm:spPr>
      <dgm:t>
        <a:bodyPr/>
        <a:lstStyle/>
        <a:p>
          <a:endParaRPr lang="fr-FR" sz="1000"/>
        </a:p>
      </dgm:t>
    </dgm:pt>
    <dgm:pt modelId="{191479D2-1B91-4364-91CA-87ADB0336768}" type="pres">
      <dgm:prSet presAssocID="{48139BD1-19C5-432D-BD56-C2943155ACFC}" presName="cycle" presStyleCnt="0">
        <dgm:presLayoutVars>
          <dgm:dir/>
          <dgm:resizeHandles val="exact"/>
        </dgm:presLayoutVars>
      </dgm:prSet>
      <dgm:spPr/>
    </dgm:pt>
    <dgm:pt modelId="{8CCB0799-DA2E-4325-8CF5-2558C49673C8}" type="pres">
      <dgm:prSet presAssocID="{551012F5-E6FF-43FE-8C04-0497EB1CC790}" presName="node" presStyleLbl="node1" presStyleIdx="0" presStyleCnt="5" custScaleX="56775" custScaleY="56775" custRadScaleRad="108886" custRadScaleInc="-12776">
        <dgm:presLayoutVars>
          <dgm:bulletEnabled val="1"/>
        </dgm:presLayoutVars>
      </dgm:prSet>
      <dgm:spPr>
        <a:prstGeom prst="ellipse">
          <a:avLst/>
        </a:prstGeom>
      </dgm:spPr>
    </dgm:pt>
    <dgm:pt modelId="{9836CC64-BFC5-49F3-ACB5-1A129FF2FEE1}" type="pres">
      <dgm:prSet presAssocID="{E9FBFB22-E143-426B-8E9F-6BFB795D6516}" presName="sibTrans" presStyleLbl="sibTrans2D1" presStyleIdx="0" presStyleCnt="5" custScaleX="78667" custLinFactNeighborX="27631" custLinFactNeighborY="-47640"/>
      <dgm:spPr>
        <a:prstGeom prst="rightArrow">
          <a:avLst>
            <a:gd name="adj1" fmla="val 60000"/>
            <a:gd name="adj2" fmla="val 50000"/>
          </a:avLst>
        </a:prstGeom>
      </dgm:spPr>
    </dgm:pt>
    <dgm:pt modelId="{CA8A774C-2F45-4586-95D7-4EB6D7A52F7E}" type="pres">
      <dgm:prSet presAssocID="{E9FBFB22-E143-426B-8E9F-6BFB795D6516}" presName="connectorText" presStyleLbl="sibTrans2D1" presStyleIdx="0" presStyleCnt="5"/>
      <dgm:spPr/>
    </dgm:pt>
    <dgm:pt modelId="{C8B5CB75-9FC9-47FA-902B-37FC7C608991}" type="pres">
      <dgm:prSet presAssocID="{846571A3-5507-4C3E-AEE6-3872B94A80CB}" presName="node" presStyleLbl="node1" presStyleIdx="1" presStyleCnt="5" custScaleX="56775" custScaleY="56775" custRadScaleRad="88386" custRadScaleInc="15295">
        <dgm:presLayoutVars>
          <dgm:bulletEnabled val="1"/>
        </dgm:presLayoutVars>
      </dgm:prSet>
      <dgm:spPr/>
    </dgm:pt>
    <dgm:pt modelId="{D28560A6-F9EE-446B-9448-42DDAED067F4}" type="pres">
      <dgm:prSet presAssocID="{FF43C5A9-74CF-4FEC-9243-E81AB63C2255}" presName="sibTrans" presStyleLbl="sibTrans2D1" presStyleIdx="1" presStyleCnt="5" custScaleX="116528" custScaleY="115862" custLinFactNeighborX="15628" custLinFactNeighborY="13325"/>
      <dgm:spPr/>
    </dgm:pt>
    <dgm:pt modelId="{158046ED-6608-4C60-AD86-CC40188A7246}" type="pres">
      <dgm:prSet presAssocID="{FF43C5A9-74CF-4FEC-9243-E81AB63C2255}" presName="connectorText" presStyleLbl="sibTrans2D1" presStyleIdx="1" presStyleCnt="5"/>
      <dgm:spPr/>
    </dgm:pt>
    <dgm:pt modelId="{4376FDA7-43F6-46A0-84E2-6BF69C6C3A76}" type="pres">
      <dgm:prSet presAssocID="{6590C1C4-0E77-469E-9854-2319EB9793AE}" presName="node" presStyleLbl="node1" presStyleIdx="2" presStyleCnt="5" custScaleX="56775" custScaleY="56775" custRadScaleRad="82885" custRadScaleInc="881">
        <dgm:presLayoutVars>
          <dgm:bulletEnabled val="1"/>
        </dgm:presLayoutVars>
      </dgm:prSet>
      <dgm:spPr/>
    </dgm:pt>
    <dgm:pt modelId="{177417AC-99A3-406D-B5C9-27F4FFF13617}" type="pres">
      <dgm:prSet presAssocID="{60EFBEB5-991C-4403-B478-0271B6124E26}" presName="sibTrans" presStyleLbl="sibTrans2D1" presStyleIdx="2" presStyleCnt="5" custAng="21588136" custFlipVert="1" custScaleX="85433" custLinFactNeighborX="1469" custLinFactNeighborY="37304"/>
      <dgm:spPr/>
    </dgm:pt>
    <dgm:pt modelId="{675A8DE2-9B97-476B-A454-E964A22D6376}" type="pres">
      <dgm:prSet presAssocID="{60EFBEB5-991C-4403-B478-0271B6124E26}" presName="connectorText" presStyleLbl="sibTrans2D1" presStyleIdx="2" presStyleCnt="5"/>
      <dgm:spPr/>
    </dgm:pt>
    <dgm:pt modelId="{14E061F7-154C-42F3-9830-5452A047FE6D}" type="pres">
      <dgm:prSet presAssocID="{2C6EF24C-7512-4D4D-9483-77D0700F7BED}" presName="node" presStyleLbl="node1" presStyleIdx="3" presStyleCnt="5" custScaleX="56775" custScaleY="56775" custRadScaleRad="93530" custRadScaleInc="26565">
        <dgm:presLayoutVars>
          <dgm:bulletEnabled val="1"/>
        </dgm:presLayoutVars>
      </dgm:prSet>
      <dgm:spPr/>
    </dgm:pt>
    <dgm:pt modelId="{B48379EE-566D-4B1F-9CD5-04F047E30425}" type="pres">
      <dgm:prSet presAssocID="{E6A55936-0250-408B-A803-03EF9D7580DC}" presName="sibTrans" presStyleLbl="sibTrans2D1" presStyleIdx="3" presStyleCnt="5" custScaleX="111635" custScaleY="104453" custLinFactNeighborX="-18624" custLinFactNeighborY="4853"/>
      <dgm:spPr/>
    </dgm:pt>
    <dgm:pt modelId="{9BD515AA-01D0-4506-A684-8F902BBFE4EA}" type="pres">
      <dgm:prSet presAssocID="{E6A55936-0250-408B-A803-03EF9D7580DC}" presName="connectorText" presStyleLbl="sibTrans2D1" presStyleIdx="3" presStyleCnt="5"/>
      <dgm:spPr/>
    </dgm:pt>
    <dgm:pt modelId="{9FF98F62-CE9C-4645-95F9-F705B901AD7E}" type="pres">
      <dgm:prSet presAssocID="{8A6BD54E-146D-4FAE-AB2F-B402401DD8DB}" presName="node" presStyleLbl="node1" presStyleIdx="4" presStyleCnt="5" custScaleX="56775" custScaleY="56775" custRadScaleRad="132668" custRadScaleInc="-19785">
        <dgm:presLayoutVars>
          <dgm:bulletEnabled val="1"/>
        </dgm:presLayoutVars>
      </dgm:prSet>
      <dgm:spPr/>
    </dgm:pt>
    <dgm:pt modelId="{6E579A13-DDFA-4D23-9E55-EBC23857FA8B}" type="pres">
      <dgm:prSet presAssocID="{51568DDF-183E-40FB-A00D-BEABE6278E27}" presName="sibTrans" presStyleLbl="sibTrans2D1" presStyleIdx="4" presStyleCnt="5" custScaleX="86395" custScaleY="100093" custLinFactNeighborX="-16284" custLinFactNeighborY="-60238"/>
      <dgm:spPr/>
    </dgm:pt>
    <dgm:pt modelId="{9FC4C9F5-68D4-4F88-9891-06527D85E0F2}" type="pres">
      <dgm:prSet presAssocID="{51568DDF-183E-40FB-A00D-BEABE6278E27}" presName="connectorText" presStyleLbl="sibTrans2D1" presStyleIdx="4" presStyleCnt="5"/>
      <dgm:spPr/>
    </dgm:pt>
  </dgm:ptLst>
  <dgm:cxnLst>
    <dgm:cxn modelId="{1C5B8603-DF0D-41F5-BF3E-70F24A15F226}" type="presOf" srcId="{51568DDF-183E-40FB-A00D-BEABE6278E27}" destId="{9FC4C9F5-68D4-4F88-9891-06527D85E0F2}" srcOrd="1" destOrd="0" presId="urn:microsoft.com/office/officeart/2005/8/layout/cycle2"/>
    <dgm:cxn modelId="{B865CD0B-7251-48E0-8D92-D61BCC9B43D7}" srcId="{48139BD1-19C5-432D-BD56-C2943155ACFC}" destId="{2C6EF24C-7512-4D4D-9483-77D0700F7BED}" srcOrd="3" destOrd="0" parTransId="{BC834D9E-7024-4BB4-8356-01AA56C968E7}" sibTransId="{E6A55936-0250-408B-A803-03EF9D7580DC}"/>
    <dgm:cxn modelId="{60C55818-5348-427A-90F0-09E219312287}" type="presOf" srcId="{FF43C5A9-74CF-4FEC-9243-E81AB63C2255}" destId="{D28560A6-F9EE-446B-9448-42DDAED067F4}" srcOrd="0" destOrd="0" presId="urn:microsoft.com/office/officeart/2005/8/layout/cycle2"/>
    <dgm:cxn modelId="{A856BC1A-C42B-425D-BFCF-7414FBCC4460}" srcId="{48139BD1-19C5-432D-BD56-C2943155ACFC}" destId="{8A6BD54E-146D-4FAE-AB2F-B402401DD8DB}" srcOrd="4" destOrd="0" parTransId="{B1F12A60-922F-4D21-B4AC-44A03795BD03}" sibTransId="{51568DDF-183E-40FB-A00D-BEABE6278E27}"/>
    <dgm:cxn modelId="{D4C97423-D10A-4ADE-9871-EC897581598A}" type="presOf" srcId="{E6A55936-0250-408B-A803-03EF9D7580DC}" destId="{B48379EE-566D-4B1F-9CD5-04F047E30425}" srcOrd="0" destOrd="0" presId="urn:microsoft.com/office/officeart/2005/8/layout/cycle2"/>
    <dgm:cxn modelId="{67A6A528-B2CD-40EA-ABE7-23458EF305BE}" type="presOf" srcId="{E9FBFB22-E143-426B-8E9F-6BFB795D6516}" destId="{9836CC64-BFC5-49F3-ACB5-1A129FF2FEE1}" srcOrd="0" destOrd="0" presId="urn:microsoft.com/office/officeart/2005/8/layout/cycle2"/>
    <dgm:cxn modelId="{FDD2DB39-3706-4B13-A6B3-E1814CFD887C}" type="presOf" srcId="{8A6BD54E-146D-4FAE-AB2F-B402401DD8DB}" destId="{9FF98F62-CE9C-4645-95F9-F705B901AD7E}" srcOrd="0" destOrd="0" presId="urn:microsoft.com/office/officeart/2005/8/layout/cycle2"/>
    <dgm:cxn modelId="{A3F3085E-1BEE-45BD-881C-FAD4D4F04AA7}" srcId="{48139BD1-19C5-432D-BD56-C2943155ACFC}" destId="{846571A3-5507-4C3E-AEE6-3872B94A80CB}" srcOrd="1" destOrd="0" parTransId="{F5C4AF12-A37C-462C-9B71-534B4712534E}" sibTransId="{FF43C5A9-74CF-4FEC-9243-E81AB63C2255}"/>
    <dgm:cxn modelId="{4DE90841-F716-4144-8ECD-91AA73A6F1CD}" type="presOf" srcId="{E9FBFB22-E143-426B-8E9F-6BFB795D6516}" destId="{CA8A774C-2F45-4586-95D7-4EB6D7A52F7E}" srcOrd="1" destOrd="0" presId="urn:microsoft.com/office/officeart/2005/8/layout/cycle2"/>
    <dgm:cxn modelId="{E7174952-1BF9-42B1-9BC3-11909CF56D77}" type="presOf" srcId="{51568DDF-183E-40FB-A00D-BEABE6278E27}" destId="{6E579A13-DDFA-4D23-9E55-EBC23857FA8B}" srcOrd="0" destOrd="0" presId="urn:microsoft.com/office/officeart/2005/8/layout/cycle2"/>
    <dgm:cxn modelId="{05A79658-FB48-4628-8FC5-1AC52B4C9133}" type="presOf" srcId="{48139BD1-19C5-432D-BD56-C2943155ACFC}" destId="{191479D2-1B91-4364-91CA-87ADB0336768}" srcOrd="0" destOrd="0" presId="urn:microsoft.com/office/officeart/2005/8/layout/cycle2"/>
    <dgm:cxn modelId="{CF51327E-B35A-4A8F-8EEA-27AC5C10E7A8}" type="presOf" srcId="{FF43C5A9-74CF-4FEC-9243-E81AB63C2255}" destId="{158046ED-6608-4C60-AD86-CC40188A7246}" srcOrd="1" destOrd="0" presId="urn:microsoft.com/office/officeart/2005/8/layout/cycle2"/>
    <dgm:cxn modelId="{FA5F3BA8-57CD-4D37-8ACD-4EB0697FFA8A}" type="presOf" srcId="{60EFBEB5-991C-4403-B478-0271B6124E26}" destId="{177417AC-99A3-406D-B5C9-27F4FFF13617}" srcOrd="0" destOrd="0" presId="urn:microsoft.com/office/officeart/2005/8/layout/cycle2"/>
    <dgm:cxn modelId="{D75251AD-59D3-4431-811B-CBC3F951CB2E}" type="presOf" srcId="{846571A3-5507-4C3E-AEE6-3872B94A80CB}" destId="{C8B5CB75-9FC9-47FA-902B-37FC7C608991}" srcOrd="0" destOrd="0" presId="urn:microsoft.com/office/officeart/2005/8/layout/cycle2"/>
    <dgm:cxn modelId="{104894C1-2AB5-4B52-BF90-43ACECF520EC}" type="presOf" srcId="{E6A55936-0250-408B-A803-03EF9D7580DC}" destId="{9BD515AA-01D0-4506-A684-8F902BBFE4EA}" srcOrd="1" destOrd="0" presId="urn:microsoft.com/office/officeart/2005/8/layout/cycle2"/>
    <dgm:cxn modelId="{0B20CDC3-55AC-43ED-9C59-535E4F940384}" type="presOf" srcId="{6590C1C4-0E77-469E-9854-2319EB9793AE}" destId="{4376FDA7-43F6-46A0-84E2-6BF69C6C3A76}" srcOrd="0" destOrd="0" presId="urn:microsoft.com/office/officeart/2005/8/layout/cycle2"/>
    <dgm:cxn modelId="{96D556C4-FED0-488B-9304-DF9CFCA69A54}" srcId="{48139BD1-19C5-432D-BD56-C2943155ACFC}" destId="{551012F5-E6FF-43FE-8C04-0497EB1CC790}" srcOrd="0" destOrd="0" parTransId="{09048788-B1D6-4F63-B54C-20367F573D3B}" sibTransId="{E9FBFB22-E143-426B-8E9F-6BFB795D6516}"/>
    <dgm:cxn modelId="{165F41C9-B1C5-4AF8-ABCD-3A99CA71FE1B}" type="presOf" srcId="{2C6EF24C-7512-4D4D-9483-77D0700F7BED}" destId="{14E061F7-154C-42F3-9830-5452A047FE6D}" srcOrd="0" destOrd="0" presId="urn:microsoft.com/office/officeart/2005/8/layout/cycle2"/>
    <dgm:cxn modelId="{FBF094DD-1E0F-4739-9B32-C7D8C0E9CE1F}" type="presOf" srcId="{551012F5-E6FF-43FE-8C04-0497EB1CC790}" destId="{8CCB0799-DA2E-4325-8CF5-2558C49673C8}" srcOrd="0" destOrd="0" presId="urn:microsoft.com/office/officeart/2005/8/layout/cycle2"/>
    <dgm:cxn modelId="{F82464EF-FDE8-4B0F-82EE-56B2BABCB6E3}" type="presOf" srcId="{60EFBEB5-991C-4403-B478-0271B6124E26}" destId="{675A8DE2-9B97-476B-A454-E964A22D6376}" srcOrd="1" destOrd="0" presId="urn:microsoft.com/office/officeart/2005/8/layout/cycle2"/>
    <dgm:cxn modelId="{DF00F8FE-C556-4986-BDA1-57EFA993A785}" srcId="{48139BD1-19C5-432D-BD56-C2943155ACFC}" destId="{6590C1C4-0E77-469E-9854-2319EB9793AE}" srcOrd="2" destOrd="0" parTransId="{ABD6B62B-FD96-41DA-8505-D76C9ECABD50}" sibTransId="{60EFBEB5-991C-4403-B478-0271B6124E26}"/>
    <dgm:cxn modelId="{C34213C9-7ED2-44D6-960E-F859EC42ED30}" type="presParOf" srcId="{191479D2-1B91-4364-91CA-87ADB0336768}" destId="{8CCB0799-DA2E-4325-8CF5-2558C49673C8}" srcOrd="0" destOrd="0" presId="urn:microsoft.com/office/officeart/2005/8/layout/cycle2"/>
    <dgm:cxn modelId="{46B90CB4-6A33-4034-8D84-3034885927F9}" type="presParOf" srcId="{191479D2-1B91-4364-91CA-87ADB0336768}" destId="{9836CC64-BFC5-49F3-ACB5-1A129FF2FEE1}" srcOrd="1" destOrd="0" presId="urn:microsoft.com/office/officeart/2005/8/layout/cycle2"/>
    <dgm:cxn modelId="{5610BBF3-B83C-43DF-AD50-EEAEA5B6F553}" type="presParOf" srcId="{9836CC64-BFC5-49F3-ACB5-1A129FF2FEE1}" destId="{CA8A774C-2F45-4586-95D7-4EB6D7A52F7E}" srcOrd="0" destOrd="0" presId="urn:microsoft.com/office/officeart/2005/8/layout/cycle2"/>
    <dgm:cxn modelId="{5A861671-ECDF-4E19-96CF-D5E01A6372A6}" type="presParOf" srcId="{191479D2-1B91-4364-91CA-87ADB0336768}" destId="{C8B5CB75-9FC9-47FA-902B-37FC7C608991}" srcOrd="2" destOrd="0" presId="urn:microsoft.com/office/officeart/2005/8/layout/cycle2"/>
    <dgm:cxn modelId="{1275D4B1-5CC2-49D0-8BDF-FA9D3B72129E}" type="presParOf" srcId="{191479D2-1B91-4364-91CA-87ADB0336768}" destId="{D28560A6-F9EE-446B-9448-42DDAED067F4}" srcOrd="3" destOrd="0" presId="urn:microsoft.com/office/officeart/2005/8/layout/cycle2"/>
    <dgm:cxn modelId="{CF05631B-89DC-4C6D-A59C-D6E47B2E46EB}" type="presParOf" srcId="{D28560A6-F9EE-446B-9448-42DDAED067F4}" destId="{158046ED-6608-4C60-AD86-CC40188A7246}" srcOrd="0" destOrd="0" presId="urn:microsoft.com/office/officeart/2005/8/layout/cycle2"/>
    <dgm:cxn modelId="{FF26A7E7-90B2-42C2-BD40-5368164DA554}" type="presParOf" srcId="{191479D2-1B91-4364-91CA-87ADB0336768}" destId="{4376FDA7-43F6-46A0-84E2-6BF69C6C3A76}" srcOrd="4" destOrd="0" presId="urn:microsoft.com/office/officeart/2005/8/layout/cycle2"/>
    <dgm:cxn modelId="{FF0F2998-7EC4-40D8-A14C-8B6D2D9EE33D}" type="presParOf" srcId="{191479D2-1B91-4364-91CA-87ADB0336768}" destId="{177417AC-99A3-406D-B5C9-27F4FFF13617}" srcOrd="5" destOrd="0" presId="urn:microsoft.com/office/officeart/2005/8/layout/cycle2"/>
    <dgm:cxn modelId="{46F0C714-46CC-4DF1-AF1D-646D827C7B5C}" type="presParOf" srcId="{177417AC-99A3-406D-B5C9-27F4FFF13617}" destId="{675A8DE2-9B97-476B-A454-E964A22D6376}" srcOrd="0" destOrd="0" presId="urn:microsoft.com/office/officeart/2005/8/layout/cycle2"/>
    <dgm:cxn modelId="{966CC8F6-699F-433B-B344-FE2CFDACEA28}" type="presParOf" srcId="{191479D2-1B91-4364-91CA-87ADB0336768}" destId="{14E061F7-154C-42F3-9830-5452A047FE6D}" srcOrd="6" destOrd="0" presId="urn:microsoft.com/office/officeart/2005/8/layout/cycle2"/>
    <dgm:cxn modelId="{5BF4E56D-85FA-4672-ABA0-CFCD5C7BE8B5}" type="presParOf" srcId="{191479D2-1B91-4364-91CA-87ADB0336768}" destId="{B48379EE-566D-4B1F-9CD5-04F047E30425}" srcOrd="7" destOrd="0" presId="urn:microsoft.com/office/officeart/2005/8/layout/cycle2"/>
    <dgm:cxn modelId="{C446CA4C-5F8C-4FE2-8B93-830584FE0111}" type="presParOf" srcId="{B48379EE-566D-4B1F-9CD5-04F047E30425}" destId="{9BD515AA-01D0-4506-A684-8F902BBFE4EA}" srcOrd="0" destOrd="0" presId="urn:microsoft.com/office/officeart/2005/8/layout/cycle2"/>
    <dgm:cxn modelId="{EE3ABEA9-110B-4969-9B17-50E7EB51B403}" type="presParOf" srcId="{191479D2-1B91-4364-91CA-87ADB0336768}" destId="{9FF98F62-CE9C-4645-95F9-F705B901AD7E}" srcOrd="8" destOrd="0" presId="urn:microsoft.com/office/officeart/2005/8/layout/cycle2"/>
    <dgm:cxn modelId="{F47AC1F0-E629-4C06-B377-742EE7F63622}" type="presParOf" srcId="{191479D2-1B91-4364-91CA-87ADB0336768}" destId="{6E579A13-DDFA-4D23-9E55-EBC23857FA8B}" srcOrd="9" destOrd="0" presId="urn:microsoft.com/office/officeart/2005/8/layout/cycle2"/>
    <dgm:cxn modelId="{7EC7ADD0-CE5F-43DA-B1AA-71D9AF46801C}" type="presParOf" srcId="{6E579A13-DDFA-4D23-9E55-EBC23857FA8B}" destId="{9FC4C9F5-68D4-4F88-9891-06527D85E0F2}" srcOrd="0" destOrd="0" presId="urn:microsoft.com/office/officeart/2005/8/layout/cycle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FF0D1B7-CF89-45A2-942A-3C0A01901422}">
      <dsp:nvSpPr>
        <dsp:cNvPr id="0" name=""/>
        <dsp:cNvSpPr/>
      </dsp:nvSpPr>
      <dsp:spPr>
        <a:xfrm>
          <a:off x="878813" y="245056"/>
          <a:ext cx="735170" cy="735170"/>
        </a:xfrm>
        <a:prstGeom prst="ellipse">
          <a:avLst/>
        </a:prstGeom>
        <a:solidFill>
          <a:srgbClr val="000000"/>
        </a:solidFill>
        <a:ln w="12700" cap="flat" cmpd="sng" algn="ctr">
          <a:solidFill>
            <a:srgbClr val="FFFFFF">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A8BFBE67-4C06-446F-A70A-25A24A85994C}">
      <dsp:nvSpPr>
        <dsp:cNvPr id="0" name=""/>
        <dsp:cNvSpPr/>
      </dsp:nvSpPr>
      <dsp:spPr>
        <a:xfrm>
          <a:off x="975897" y="342345"/>
          <a:ext cx="525034" cy="525034"/>
        </a:xfrm>
        <a:prstGeom prst="ellipse">
          <a:avLst/>
        </a:prstGeom>
        <a:solidFill>
          <a:srgbClr val="FF0000"/>
        </a:solidFill>
        <a:ln w="12700" cap="flat" cmpd="sng" algn="ctr">
          <a:solidFill>
            <a:srgbClr val="FFFFFF">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95E713C8-9027-4A1D-B42D-F6F0F4BE1915}">
      <dsp:nvSpPr>
        <dsp:cNvPr id="0" name=""/>
        <dsp:cNvSpPr/>
      </dsp:nvSpPr>
      <dsp:spPr>
        <a:xfrm>
          <a:off x="1080903" y="447352"/>
          <a:ext cx="315020" cy="315020"/>
        </a:xfrm>
        <a:prstGeom prst="ellipse">
          <a:avLst/>
        </a:prstGeom>
        <a:solidFill>
          <a:srgbClr val="FFC000"/>
        </a:solidFill>
        <a:ln w="12700" cap="flat" cmpd="sng" algn="ctr">
          <a:solidFill>
            <a:srgbClr val="FFFFFF">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924D764-2BDF-409E-9D19-764A7B2488F2}">
      <dsp:nvSpPr>
        <dsp:cNvPr id="0" name=""/>
        <dsp:cNvSpPr/>
      </dsp:nvSpPr>
      <dsp:spPr>
        <a:xfrm>
          <a:off x="1185910" y="552359"/>
          <a:ext cx="105006" cy="105006"/>
        </a:xfrm>
        <a:prstGeom prst="ellipse">
          <a:avLst/>
        </a:prstGeom>
        <a:solidFill>
          <a:srgbClr val="92D050"/>
        </a:solidFill>
        <a:ln w="12700" cap="flat" cmpd="sng" algn="ctr">
          <a:solidFill>
            <a:srgbClr val="FFFFFF">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70E639F3-4081-4ED4-9799-D8B1FF4BFDB3}">
      <dsp:nvSpPr>
        <dsp:cNvPr id="0" name=""/>
        <dsp:cNvSpPr/>
      </dsp:nvSpPr>
      <dsp:spPr>
        <a:xfrm>
          <a:off x="1816220" y="14084"/>
          <a:ext cx="830812" cy="14471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11430" rIns="11430" bIns="11430" numCol="1" spcCol="1270" anchor="ctr" anchorCtr="0">
          <a:noAutofit/>
        </a:bodyPr>
        <a:lstStyle/>
        <a:p>
          <a:pPr marL="0" lvl="0" indent="0" algn="l" defTabSz="400050">
            <a:lnSpc>
              <a:spcPct val="90000"/>
            </a:lnSpc>
            <a:spcBef>
              <a:spcPct val="0"/>
            </a:spcBef>
            <a:spcAft>
              <a:spcPct val="35000"/>
            </a:spcAft>
            <a:buNone/>
          </a:pPr>
          <a:r>
            <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rPr>
            <a:t>0 à 2 salariés</a:t>
          </a:r>
        </a:p>
      </dsp:txBody>
      <dsp:txXfrm>
        <a:off x="1816220" y="14084"/>
        <a:ext cx="830812" cy="144711"/>
      </dsp:txXfrm>
    </dsp:sp>
    <dsp:sp modelId="{0C3904E1-F22C-4E8E-8703-969700771F1F}">
      <dsp:nvSpPr>
        <dsp:cNvPr id="0" name=""/>
        <dsp:cNvSpPr/>
      </dsp:nvSpPr>
      <dsp:spPr>
        <a:xfrm>
          <a:off x="1636631" y="80135"/>
          <a:ext cx="91896"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142077FA-D5C1-4738-B24D-A76B21F419BB}">
      <dsp:nvSpPr>
        <dsp:cNvPr id="0" name=""/>
        <dsp:cNvSpPr/>
      </dsp:nvSpPr>
      <dsp:spPr>
        <a:xfrm rot="5400000">
          <a:off x="1174699" y="138029"/>
          <a:ext cx="519520" cy="404343"/>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A03EF8B9-95F7-498F-954A-92EAFAAB4E18}">
      <dsp:nvSpPr>
        <dsp:cNvPr id="0" name=""/>
        <dsp:cNvSpPr/>
      </dsp:nvSpPr>
      <dsp:spPr>
        <a:xfrm>
          <a:off x="1828472" y="216443"/>
          <a:ext cx="794605" cy="6945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11430" rIns="11430" bIns="11430" numCol="1" spcCol="1270" anchor="ctr" anchorCtr="0">
          <a:noAutofit/>
        </a:bodyPr>
        <a:lstStyle/>
        <a:p>
          <a:pPr marL="0" lvl="0" indent="0" algn="l" defTabSz="400050">
            <a:lnSpc>
              <a:spcPct val="90000"/>
            </a:lnSpc>
            <a:spcBef>
              <a:spcPct val="0"/>
            </a:spcBef>
            <a:spcAft>
              <a:spcPct val="35000"/>
            </a:spcAft>
            <a:buNone/>
          </a:pPr>
          <a:r>
            <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rPr>
            <a:t>3 à 9 salariés</a:t>
          </a:r>
        </a:p>
      </dsp:txBody>
      <dsp:txXfrm>
        <a:off x="1828472" y="216443"/>
        <a:ext cx="794605" cy="69457"/>
      </dsp:txXfrm>
    </dsp:sp>
    <dsp:sp modelId="{20449E2A-025B-4C6B-885A-E92E673E3751}">
      <dsp:nvSpPr>
        <dsp:cNvPr id="0" name=""/>
        <dsp:cNvSpPr/>
      </dsp:nvSpPr>
      <dsp:spPr>
        <a:xfrm>
          <a:off x="1636631" y="255963"/>
          <a:ext cx="91896"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1C4DFA75-0810-4DE1-960F-134D5AF468DA}">
      <dsp:nvSpPr>
        <dsp:cNvPr id="0" name=""/>
        <dsp:cNvSpPr/>
      </dsp:nvSpPr>
      <dsp:spPr>
        <a:xfrm rot="5400000">
          <a:off x="1264635" y="310978"/>
          <a:ext cx="426643" cy="316735"/>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376A7252-E8C0-42DC-8286-4ABD3024FE51}">
      <dsp:nvSpPr>
        <dsp:cNvPr id="0" name=""/>
        <dsp:cNvSpPr/>
      </dsp:nvSpPr>
      <dsp:spPr>
        <a:xfrm>
          <a:off x="1823085" y="337188"/>
          <a:ext cx="849577" cy="17626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11430" rIns="11430" bIns="11430" numCol="1" spcCol="1270" anchor="ctr" anchorCtr="0">
          <a:noAutofit/>
        </a:bodyPr>
        <a:lstStyle/>
        <a:p>
          <a:pPr marL="0" lvl="0" indent="0" algn="l" defTabSz="400050">
            <a:lnSpc>
              <a:spcPct val="90000"/>
            </a:lnSpc>
            <a:spcBef>
              <a:spcPct val="0"/>
            </a:spcBef>
            <a:spcAft>
              <a:spcPct val="35000"/>
            </a:spcAft>
            <a:buNone/>
          </a:pPr>
          <a:r>
            <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rPr>
            <a:t>10 à 24 salariés</a:t>
          </a:r>
        </a:p>
      </dsp:txBody>
      <dsp:txXfrm>
        <a:off x="1823085" y="337188"/>
        <a:ext cx="849577" cy="176264"/>
      </dsp:txXfrm>
    </dsp:sp>
    <dsp:sp modelId="{0B3FE0B3-EF2A-4E25-BA5E-1EA40B10B14F}">
      <dsp:nvSpPr>
        <dsp:cNvPr id="0" name=""/>
        <dsp:cNvSpPr/>
      </dsp:nvSpPr>
      <dsp:spPr>
        <a:xfrm>
          <a:off x="1636631" y="431791"/>
          <a:ext cx="91896"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9B7E854B-0DEE-4627-B2AF-D31CE9C06105}">
      <dsp:nvSpPr>
        <dsp:cNvPr id="0" name=""/>
        <dsp:cNvSpPr/>
      </dsp:nvSpPr>
      <dsp:spPr>
        <a:xfrm rot="5400000">
          <a:off x="1351691" y="472164"/>
          <a:ext cx="325435" cy="244444"/>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DBAD964A-4A59-4611-9897-38D8F44C73FF}">
      <dsp:nvSpPr>
        <dsp:cNvPr id="0" name=""/>
        <dsp:cNvSpPr/>
      </dsp:nvSpPr>
      <dsp:spPr>
        <a:xfrm>
          <a:off x="1837509" y="487980"/>
          <a:ext cx="923403" cy="2199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4008" tIns="11430" rIns="11430" bIns="11430" numCol="1" spcCol="1270" anchor="ctr" anchorCtr="0">
          <a:noAutofit/>
        </a:bodyPr>
        <a:lstStyle/>
        <a:p>
          <a:pPr marL="0" lvl="0" indent="0" algn="l" defTabSz="400050">
            <a:lnSpc>
              <a:spcPct val="90000"/>
            </a:lnSpc>
            <a:spcBef>
              <a:spcPct val="0"/>
            </a:spcBef>
            <a:spcAft>
              <a:spcPct val="35000"/>
            </a:spcAft>
            <a:buNone/>
          </a:pPr>
          <a:r>
            <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rPr>
            <a:t>25</a:t>
          </a:r>
          <a:r>
            <a:rPr lang="fr-FR" sz="900" kern="1200" baseline="0" dirty="0">
              <a:solidFill>
                <a:srgbClr val="000000"/>
              </a:solidFill>
              <a:latin typeface="Lato" panose="020F0502020204030203" pitchFamily="34" charset="0"/>
              <a:ea typeface="Lato" panose="020F0502020204030203" pitchFamily="34" charset="0"/>
              <a:cs typeface="Lato" panose="020F0502020204030203" pitchFamily="34" charset="0"/>
            </a:rPr>
            <a:t> salariés et +</a:t>
          </a:r>
          <a:endParaRPr lang="fr-FR" sz="900" kern="1200" dirty="0">
            <a:solidFill>
              <a:srgbClr val="000000"/>
            </a:solidFill>
            <a:latin typeface="Lato" panose="020F0502020204030203" pitchFamily="34" charset="0"/>
            <a:ea typeface="Lato" panose="020F0502020204030203" pitchFamily="34" charset="0"/>
            <a:cs typeface="Lato" panose="020F0502020204030203" pitchFamily="34" charset="0"/>
          </a:endParaRPr>
        </a:p>
      </dsp:txBody>
      <dsp:txXfrm>
        <a:off x="1837509" y="487980"/>
        <a:ext cx="923403" cy="219961"/>
      </dsp:txXfrm>
    </dsp:sp>
    <dsp:sp modelId="{B78AF44F-B2CF-4F9C-A9FE-9C65EE4185B4}">
      <dsp:nvSpPr>
        <dsp:cNvPr id="0" name=""/>
        <dsp:cNvSpPr/>
      </dsp:nvSpPr>
      <dsp:spPr>
        <a:xfrm>
          <a:off x="1636631" y="607619"/>
          <a:ext cx="91896" cy="0"/>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 modelId="{3225F042-850A-4C33-9BC6-7278DEA26CD4}">
      <dsp:nvSpPr>
        <dsp:cNvPr id="0" name=""/>
        <dsp:cNvSpPr/>
      </dsp:nvSpPr>
      <dsp:spPr>
        <a:xfrm rot="5400000">
          <a:off x="1438956" y="633987"/>
          <a:ext cx="223687" cy="170804"/>
        </a:xfrm>
        <a:prstGeom prst="line">
          <a:avLst/>
        </a:prstGeom>
        <a:solidFill>
          <a:srgbClr val="F1730B">
            <a:hueOff val="0"/>
            <a:satOff val="0"/>
            <a:lumOff val="0"/>
            <a:alphaOff val="0"/>
          </a:srgbClr>
        </a:solidFill>
        <a:ln w="12700" cap="flat" cmpd="sng" algn="ctr">
          <a:solidFill>
            <a:srgbClr val="F1730B">
              <a:hueOff val="0"/>
              <a:satOff val="0"/>
              <a:lumOff val="0"/>
              <a:alphaOff val="0"/>
            </a:srgb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CCB0799-DA2E-4325-8CF5-2558C49673C8}">
      <dsp:nvSpPr>
        <dsp:cNvPr id="0" name=""/>
        <dsp:cNvSpPr/>
      </dsp:nvSpPr>
      <dsp:spPr>
        <a:xfrm>
          <a:off x="2266881" y="160411"/>
          <a:ext cx="422245" cy="422245"/>
        </a:xfrm>
        <a:prstGeom prst="ellipse">
          <a:avLst/>
        </a:prstGeom>
        <a:solidFill>
          <a:srgbClr val="16A085"/>
        </a:solidFill>
        <a:ln w="25400" cap="flat" cmpd="sng" algn="ctr">
          <a:solidFill>
            <a:sysClr val="window" lastClr="FFFFFF">
              <a:hueOff val="0"/>
              <a:satOff val="0"/>
              <a:lumOff val="0"/>
              <a:alphaOff val="0"/>
            </a:sys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en-US" sz="1600" kern="1200" dirty="0">
              <a:solidFill>
                <a:sysClr val="window" lastClr="FFFFFF"/>
              </a:solidFill>
              <a:latin typeface="Calibri"/>
              <a:ea typeface="+mn-ea"/>
              <a:cs typeface="+mn-cs"/>
            </a:rPr>
            <a:t>1</a:t>
          </a:r>
        </a:p>
      </dsp:txBody>
      <dsp:txXfrm>
        <a:off x="2328717" y="222247"/>
        <a:ext cx="298573" cy="298573"/>
      </dsp:txXfrm>
    </dsp:sp>
    <dsp:sp modelId="{9836CC64-BFC5-49F3-ACB5-1A129FF2FEE1}">
      <dsp:nvSpPr>
        <dsp:cNvPr id="0" name=""/>
        <dsp:cNvSpPr/>
      </dsp:nvSpPr>
      <dsp:spPr>
        <a:xfrm rot="2595471">
          <a:off x="2870143" y="543219"/>
          <a:ext cx="341323" cy="251004"/>
        </a:xfrm>
        <a:prstGeom prst="rightArrow">
          <a:avLst>
            <a:gd name="adj1" fmla="val 60000"/>
            <a:gd name="adj2" fmla="val 50000"/>
          </a:avLst>
        </a:prstGeom>
        <a:solidFill>
          <a:srgbClr val="16A085">
            <a:hueOff val="0"/>
            <a:satOff val="0"/>
            <a:lumOff val="0"/>
            <a:alphaOff val="0"/>
          </a:srgb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en-US" sz="1000" kern="1200">
            <a:solidFill>
              <a:sysClr val="window" lastClr="FFFFFF"/>
            </a:solidFill>
            <a:latin typeface="Calibri"/>
            <a:ea typeface="+mn-ea"/>
            <a:cs typeface="+mn-cs"/>
          </a:endParaRPr>
        </a:p>
      </dsp:txBody>
      <dsp:txXfrm>
        <a:off x="2880374" y="567619"/>
        <a:ext cx="266022" cy="150602"/>
      </dsp:txXfrm>
    </dsp:sp>
    <dsp:sp modelId="{C8B5CB75-9FC9-47FA-902B-37FC7C608991}">
      <dsp:nvSpPr>
        <dsp:cNvPr id="0" name=""/>
        <dsp:cNvSpPr/>
      </dsp:nvSpPr>
      <dsp:spPr>
        <a:xfrm>
          <a:off x="3170596" y="1010774"/>
          <a:ext cx="422245" cy="422245"/>
        </a:xfrm>
        <a:prstGeom prst="ellipse">
          <a:avLst/>
        </a:prstGeom>
        <a:solidFill>
          <a:srgbClr val="9BBB59"/>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fr-FR" sz="1600" kern="1200" dirty="0"/>
            <a:t>2</a:t>
          </a:r>
        </a:p>
      </dsp:txBody>
      <dsp:txXfrm>
        <a:off x="3232432" y="1072610"/>
        <a:ext cx="298573" cy="298573"/>
      </dsp:txXfrm>
    </dsp:sp>
    <dsp:sp modelId="{D28560A6-F9EE-446B-9448-42DDAED067F4}">
      <dsp:nvSpPr>
        <dsp:cNvPr id="0" name=""/>
        <dsp:cNvSpPr/>
      </dsp:nvSpPr>
      <dsp:spPr>
        <a:xfrm rot="6821988">
          <a:off x="3096674" y="1514463"/>
          <a:ext cx="293727" cy="290819"/>
        </a:xfrm>
        <a:prstGeom prst="rightArrow">
          <a:avLst>
            <a:gd name="adj1" fmla="val 60000"/>
            <a:gd name="adj2" fmla="val 50000"/>
          </a:avLst>
        </a:prstGeom>
        <a:solidFill>
          <a:srgbClr val="9BBB59"/>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fr-FR" sz="1000" kern="1200"/>
        </a:p>
      </dsp:txBody>
      <dsp:txXfrm rot="10800000">
        <a:off x="3157831" y="1532683"/>
        <a:ext cx="206481" cy="174491"/>
      </dsp:txXfrm>
    </dsp:sp>
    <dsp:sp modelId="{4376FDA7-43F6-46A0-84E2-6BF69C6C3A76}">
      <dsp:nvSpPr>
        <dsp:cNvPr id="0" name=""/>
        <dsp:cNvSpPr/>
      </dsp:nvSpPr>
      <dsp:spPr>
        <a:xfrm>
          <a:off x="2809713" y="1832896"/>
          <a:ext cx="422245" cy="422245"/>
        </a:xfrm>
        <a:prstGeom prst="ellipse">
          <a:avLst/>
        </a:prstGeom>
        <a:solidFill>
          <a:srgbClr val="F39C12"/>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fr-FR" sz="1600" kern="1200" dirty="0"/>
            <a:t>3</a:t>
          </a:r>
        </a:p>
      </dsp:txBody>
      <dsp:txXfrm>
        <a:off x="2871549" y="1894732"/>
        <a:ext cx="298573" cy="298573"/>
      </dsp:txXfrm>
    </dsp:sp>
    <dsp:sp modelId="{177417AC-99A3-406D-B5C9-27F4FFF13617}">
      <dsp:nvSpPr>
        <dsp:cNvPr id="0" name=""/>
        <dsp:cNvSpPr/>
      </dsp:nvSpPr>
      <dsp:spPr>
        <a:xfrm rot="10756872" flipV="1">
          <a:off x="2336380" y="2003555"/>
          <a:ext cx="304647" cy="251004"/>
        </a:xfrm>
        <a:prstGeom prst="rightArrow">
          <a:avLst>
            <a:gd name="adj1" fmla="val 60000"/>
            <a:gd name="adj2" fmla="val 50000"/>
          </a:avLst>
        </a:prstGeom>
        <a:solidFill>
          <a:srgbClr val="F39C12"/>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fr-FR" sz="1000" kern="1200" dirty="0"/>
        </a:p>
      </dsp:txBody>
      <dsp:txXfrm rot="10800000">
        <a:off x="2411678" y="2053284"/>
        <a:ext cx="229346" cy="150602"/>
      </dsp:txXfrm>
    </dsp:sp>
    <dsp:sp modelId="{14E061F7-154C-42F3-9830-5452A047FE6D}">
      <dsp:nvSpPr>
        <dsp:cNvPr id="0" name=""/>
        <dsp:cNvSpPr/>
      </dsp:nvSpPr>
      <dsp:spPr>
        <a:xfrm>
          <a:off x="1714791" y="1815380"/>
          <a:ext cx="422245" cy="422245"/>
        </a:xfrm>
        <a:prstGeom prst="ellipse">
          <a:avLst/>
        </a:prstGeom>
        <a:solidFill>
          <a:srgbClr val="C0392B"/>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fr-FR" sz="1600" kern="1200" dirty="0"/>
            <a:t>4</a:t>
          </a:r>
        </a:p>
      </dsp:txBody>
      <dsp:txXfrm>
        <a:off x="1776627" y="1877216"/>
        <a:ext cx="298573" cy="298573"/>
      </dsp:txXfrm>
    </dsp:sp>
    <dsp:sp modelId="{B48379EE-566D-4B1F-9CD5-04F047E30425}">
      <dsp:nvSpPr>
        <dsp:cNvPr id="0" name=""/>
        <dsp:cNvSpPr/>
      </dsp:nvSpPr>
      <dsp:spPr>
        <a:xfrm rot="14096934">
          <a:off x="1381081" y="1484893"/>
          <a:ext cx="372348" cy="262182"/>
        </a:xfrm>
        <a:prstGeom prst="rightArrow">
          <a:avLst>
            <a:gd name="adj1" fmla="val 60000"/>
            <a:gd name="adj2" fmla="val 50000"/>
          </a:avLst>
        </a:prstGeom>
        <a:solidFill>
          <a:srgbClr val="C0392B"/>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fr-FR" sz="1000" kern="1200"/>
        </a:p>
      </dsp:txBody>
      <dsp:txXfrm rot="10800000">
        <a:off x="1442995" y="1569524"/>
        <a:ext cx="293693" cy="157310"/>
      </dsp:txXfrm>
    </dsp:sp>
    <dsp:sp modelId="{9FF98F62-CE9C-4645-95F9-F705B901AD7E}">
      <dsp:nvSpPr>
        <dsp:cNvPr id="0" name=""/>
        <dsp:cNvSpPr/>
      </dsp:nvSpPr>
      <dsp:spPr>
        <a:xfrm>
          <a:off x="1110868" y="954524"/>
          <a:ext cx="422245" cy="422245"/>
        </a:xfrm>
        <a:prstGeom prst="ellipse">
          <a:avLst/>
        </a:prstGeom>
        <a:solidFill>
          <a:srgbClr val="7030A0"/>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0320" tIns="20320" rIns="20320" bIns="20320" numCol="1" spcCol="1270" anchor="ctr" anchorCtr="0">
          <a:noAutofit/>
        </a:bodyPr>
        <a:lstStyle/>
        <a:p>
          <a:pPr marL="0" lvl="0" indent="0" algn="ctr" defTabSz="711200">
            <a:lnSpc>
              <a:spcPct val="90000"/>
            </a:lnSpc>
            <a:spcBef>
              <a:spcPct val="0"/>
            </a:spcBef>
            <a:spcAft>
              <a:spcPct val="35000"/>
            </a:spcAft>
            <a:buNone/>
          </a:pPr>
          <a:r>
            <a:rPr lang="fr-FR" sz="1600" kern="1200" dirty="0"/>
            <a:t>5</a:t>
          </a:r>
        </a:p>
      </dsp:txBody>
      <dsp:txXfrm>
        <a:off x="1172704" y="1016360"/>
        <a:ext cx="298573" cy="298573"/>
      </dsp:txXfrm>
    </dsp:sp>
    <dsp:sp modelId="{6E579A13-DDFA-4D23-9E55-EBC23857FA8B}">
      <dsp:nvSpPr>
        <dsp:cNvPr id="0" name=""/>
        <dsp:cNvSpPr/>
      </dsp:nvSpPr>
      <dsp:spPr>
        <a:xfrm rot="19530793">
          <a:off x="1578854" y="500097"/>
          <a:ext cx="448847" cy="251238"/>
        </a:xfrm>
        <a:prstGeom prst="rightArrow">
          <a:avLst>
            <a:gd name="adj1" fmla="val 60000"/>
            <a:gd name="adj2" fmla="val 50000"/>
          </a:avLst>
        </a:prstGeom>
        <a:solidFill>
          <a:srgbClr val="7030A0"/>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fr-FR" sz="1000" kern="1200"/>
        </a:p>
      </dsp:txBody>
      <dsp:txXfrm>
        <a:off x="1585477" y="571683"/>
        <a:ext cx="373476" cy="150742"/>
      </dsp:txXfrm>
    </dsp:sp>
  </dsp:spTree>
</dsp:drawing>
</file>

<file path=xl/diagrams/layout1.xml><?xml version="1.0" encoding="utf-8"?>
<dgm:layoutDef xmlns:dgm="http://schemas.openxmlformats.org/drawingml/2006/diagram" xmlns:a="http://schemas.openxmlformats.org/drawingml/2006/main" uniqueId="urn:microsoft.com/office/officeart/2005/8/layout/target1">
  <dgm:title val=""/>
  <dgm:desc val=""/>
  <dgm:catLst>
    <dgm:cat type="relationship" pri="25000"/>
    <dgm:cat type="convert" pri="20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omposite">
    <dgm:varLst>
      <dgm:chMax val="5"/>
      <dgm:dir/>
      <dgm:resizeHandles val="exact"/>
    </dgm:varLst>
    <dgm:alg type="composite">
      <dgm:param type="ar" val="1.25"/>
    </dgm:alg>
    <dgm:shape xmlns:r="http://schemas.openxmlformats.org/officeDocument/2006/relationships" r:blip="">
      <dgm:adjLst/>
    </dgm:shape>
    <dgm:presOf/>
    <dgm:choose name="Name0">
      <dgm:if name="Name1" func="var" arg="dir" op="equ" val="norm">
        <dgm:choose name="Name2">
          <dgm:if name="Name3" axis="ch" ptType="node" func="cnt" op="equ" val="0">
            <dgm:constrLst/>
          </dgm:if>
          <dgm:if name="Name4" axis="ch" ptType="node" func="cnt" op="equ" val="1">
            <dgm:constrLst>
              <dgm:constr type="primFontSz" for="des" ptType="node" op="equ" val="65"/>
              <dgm:constr type="w" for="ch" forName="circle1" refType="w" fact="0.6"/>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3125"/>
              <dgm:constr type="r" for="ch" forName="text1" refType="w"/>
              <dgm:constr type="t" for="ch" forName="text1"/>
              <dgm:constr type="l" for="ch" forName="line1" refType="w" fact="0.625"/>
              <dgm:constr type="ctrY" for="ch" forName="line1" refType="ctrY" refFor="ch" refForName="text1"/>
              <dgm:constr type="r" for="ch" forName="line1" refType="l" refFor="ch" refForName="text1"/>
              <dgm:constr type="h" for="ch" forName="line1"/>
              <dgm:constr type="l" for="ch" forName="d1" refType="w" fact="0.3"/>
              <dgm:constr type="b" for="ch" forName="d1" refType="h" fact="0.625"/>
              <dgm:constr type="w" for="ch" forName="d1" refType="w" fact="0.32475"/>
              <dgm:constr type="h" for="ch" forName="d1" refType="h" fact="0.469"/>
            </dgm:constrLst>
          </dgm:if>
          <dgm:if name="Name5" axis="ch" ptType="node" func="cnt" op="equ" val="2">
            <dgm:constrLst>
              <dgm:constr type="primFontSz" for="des" ptType="node" op="equ" val="65"/>
              <dgm:constr type="w" for="ch" forName="circle1" refType="w" fact="0.2"/>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3125"/>
              <dgm:constr type="r" for="ch" forName="text1" refType="w"/>
              <dgm:constr type="t" for="ch" forName="text1"/>
              <dgm:constr type="l" for="ch" forName="line1" refType="w" fact="0.625"/>
              <dgm:constr type="ctrY" for="ch" forName="line1" refType="ctrY" refFor="ch" refForName="text1"/>
              <dgm:constr type="w" for="ch" forName="line1" refType="w" fact="0.075"/>
              <dgm:constr type="h" for="ch" forName="line1"/>
              <dgm:constr type="l" for="ch" forName="d1" refType="w" fact="0.3"/>
              <dgm:constr type="b" for="ch" forName="d1" refType="h" fact="0.625"/>
              <dgm:constr type="w" for="ch" forName="d1" refType="w" fact="0.32475"/>
              <dgm:constr type="h" for="ch" forName="d1" refType="h" fact="0.469"/>
              <dgm:constr type="w" for="ch" forName="circle2" refType="w" fact="0.6"/>
              <dgm:constr type="h" for="ch" forName="circle2" refType="w" refFor="ch" refForName="circle2"/>
              <dgm:constr type="ctrX" for="ch" forName="circle2" refType="w" fact="0.3"/>
              <dgm:constr type="ctrY" for="ch" forName="circle2" refType="h" fact="0.625"/>
              <dgm:constr type="w" for="ch" forName="text2" refType="w" fact="0.3"/>
              <dgm:constr type="h" for="ch" forName="text2" refType="h" fact="0.3125"/>
              <dgm:constr type="r" for="ch" forName="text2" refType="w"/>
              <dgm:constr type="t" for="ch" forName="text2" refType="b" refFor="ch" refForName="text1"/>
              <dgm:constr type="l" for="ch" forName="line2" refType="w" fact="0.625"/>
              <dgm:constr type="ctrY" for="ch" forName="line2" refType="ctrY" refFor="ch" refForName="text2"/>
              <dgm:constr type="w" for="ch" forName="line2" refType="w" fact="0.075"/>
              <dgm:constr type="h" for="ch" forName="line2"/>
              <dgm:constr type="l" for="ch" forName="d2" refType="w" fact="0.44325"/>
              <dgm:constr type="b" for="ch" forName="d2" refType="h" fact="0.7975"/>
              <dgm:constr type="w" for="ch" forName="d2" refType="w" fact="0.1815"/>
              <dgm:constr type="h" for="ch" forName="d2" refType="h" fact="0.3283"/>
            </dgm:constrLst>
          </dgm:if>
          <dgm:if name="Name6" axis="ch" ptType="node" func="cnt" op="equ" val="3">
            <dgm:constrLst>
              <dgm:constr type="primFontSz" for="des" ptType="node" op="equ" val="65"/>
              <dgm:constr type="w" for="ch" forName="circle1" refType="w" fact="0.12"/>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21875"/>
              <dgm:constr type="r" for="ch" forName="text1" refType="w"/>
              <dgm:constr type="t" for="ch" forName="text1"/>
              <dgm:constr type="l" for="ch" forName="line1" refType="w" fact="0.625"/>
              <dgm:constr type="ctrY" for="ch" forName="line1" refType="ctrY" refFor="ch" refForName="text1"/>
              <dgm:constr type="w" for="ch" forName="line1" refType="w" fact="0.075"/>
              <dgm:constr type="h" for="ch" forName="line1"/>
              <dgm:constr type="l" for="ch" forName="d1" refType="w" fact="0.3"/>
              <dgm:constr type="b" for="ch" forName="d1" refType="h" fact="0.625"/>
              <dgm:constr type="w" for="ch" forName="d1" refType="w" fact="0.3247"/>
              <dgm:constr type="h" for="ch" forName="d1" refType="h" fact="0.5155"/>
              <dgm:constr type="w" for="ch" forName="circle2" refType="w" fact="0.36"/>
              <dgm:constr type="h" for="ch" forName="circle2" refType="w" refFor="ch" refForName="circle2"/>
              <dgm:constr type="ctrX" for="ch" forName="circle2" refType="w" fact="0.3"/>
              <dgm:constr type="ctrY" for="ch" forName="circle2" refType="h" fact="0.625"/>
              <dgm:constr type="w" for="ch" forName="text2" refType="w" fact="0.3"/>
              <dgm:constr type="h" for="ch" forName="text2" refType="h" fact="0.21875"/>
              <dgm:constr type="r" for="ch" forName="text2" refType="w"/>
              <dgm:constr type="t" for="ch" forName="text2" refType="b" refFor="ch" refForName="text1"/>
              <dgm:constr type="l" for="ch" forName="line2" refType="w" fact="0.625"/>
              <dgm:constr type="ctrY" for="ch" forName="line2" refType="ctrY" refFor="ch" refForName="text2"/>
              <dgm:constr type="w" for="ch" forName="line2" refType="w" fact="0.075"/>
              <dgm:constr type="h" for="ch" forName="line2"/>
              <dgm:constr type="l" for="ch" forName="d2" refType="w" fact="0.386"/>
              <dgm:constr type="b" for="ch" forName="d2" refType="h" fact="0.72969"/>
              <dgm:constr type="w" for="ch" forName="d2" refType="w" fact="0.2387"/>
              <dgm:constr type="h" for="ch" forName="d2" refType="h" fact="0.4017"/>
              <dgm:constr type="w" for="ch" forName="circle3" refType="w" fact="0.6"/>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21875"/>
              <dgm:constr type="r" for="ch" forName="text3" refType="w"/>
              <dgm:constr type="t" for="ch" forName="text3" refType="b" refFor="ch" refForName="text2"/>
              <dgm:constr type="l" for="ch" forName="line3" refType="w" fact="0.625"/>
              <dgm:constr type="ctrY" for="ch" forName="line3" refType="ctrY" refFor="ch" refForName="text3"/>
              <dgm:constr type="w" for="ch" forName="line3" refType="w" fact="0.075"/>
              <dgm:constr type="h" for="ch" forName="line3"/>
              <dgm:constr type="l" for="ch" forName="d3" refType="w" fact="0.47175"/>
              <dgm:constr type="b" for="ch" forName="d3" refType="h" fact="0.83375"/>
              <dgm:constr type="w" for="ch" forName="d3" refType="w" fact="0.1527"/>
              <dgm:constr type="h" for="ch" forName="d3" refType="h" fact="0.287"/>
            </dgm:constrLst>
          </dgm:if>
          <dgm:if name="Name7" axis="ch" ptType="node" func="cnt" op="equ" val="4">
            <dgm:constrLst>
              <dgm:constr type="primFontSz" for="des" ptType="node" op="equ" val="65"/>
              <dgm:constr type="w" for="ch" forName="circle1" refType="w" fact="0.0857"/>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17938"/>
              <dgm:constr type="r" for="ch" forName="text1" refType="w"/>
              <dgm:constr type="t" for="ch" forName="text1"/>
              <dgm:constr type="l" for="ch" forName="line1" refType="w" fact="0.625"/>
              <dgm:constr type="ctrY" for="ch" forName="line1" refType="ctrY" refFor="ch" refForName="text1"/>
              <dgm:constr type="w" for="ch" forName="line1" refType="w" fact="0.075"/>
              <dgm:constr type="h" for="ch" forName="line1"/>
              <dgm:constr type="l" for="ch" forName="d1" refType="w" fact="0.295"/>
              <dgm:constr type="b" for="ch" forName="d1" refType="h" fact="0.62"/>
              <dgm:constr type="w" for="ch" forName="d1" refType="w" fact="0.33"/>
              <dgm:constr type="h" for="ch" forName="d1" refType="h" fact="0.53"/>
              <dgm:constr type="w" for="ch" forName="circle2" refType="w" fact="0.2571"/>
              <dgm:constr type="h" for="ch" forName="circle2" refType="w" refFor="ch" refForName="circle2"/>
              <dgm:constr type="ctrX" for="ch" forName="circle2" refType="w" fact="0.3"/>
              <dgm:constr type="ctrY" for="ch" forName="circle2" refType="h" fact="0.625"/>
              <dgm:constr type="w" for="ch" forName="text2" refType="w" fact="0.3"/>
              <dgm:constr type="h" for="ch" forName="text2" refType="h" fact="0.17938"/>
              <dgm:constr type="r" for="ch" forName="text2" refType="w"/>
              <dgm:constr type="t" for="ch" forName="text2" refType="b" refFor="ch" refForName="text1"/>
              <dgm:constr type="l" for="ch" forName="line2" refType="w" fact="0.625"/>
              <dgm:constr type="ctrY" for="ch" forName="line2" refType="ctrY" refFor="ch" refForName="text2"/>
              <dgm:constr type="w" for="ch" forName="line2" refType="w" fact="0.075"/>
              <dgm:constr type="h" for="ch" forName="line2"/>
              <dgm:constr type="l" for="ch" forName="d2" refType="w" fact="0.36625"/>
              <dgm:constr type="b" for="ch" forName="d2" refType="h" fact="0.70438"/>
              <dgm:constr type="w" for="ch" forName="d2" refType="w" fact="0.2585"/>
              <dgm:constr type="h" for="ch" forName="d2" refType="h" fact="0.43525"/>
              <dgm:constr type="w" for="ch" forName="circle3" refType="w" fact="0.4285"/>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17938"/>
              <dgm:constr type="r" for="ch" forName="text3" refType="w"/>
              <dgm:constr type="t" for="ch" forName="text3" refType="b" refFor="ch" refForName="text2"/>
              <dgm:constr type="l" for="ch" forName="line3" refType="w" fact="0.625"/>
              <dgm:constr type="ctrY" for="ch" forName="line3" refType="ctrY" refFor="ch" refForName="text3"/>
              <dgm:constr type="w" for="ch" forName="line3" refType="w" fact="0.075"/>
              <dgm:constr type="h" for="ch" forName="line3"/>
              <dgm:constr type="l" for="ch" forName="d3" refType="w" fact="0.4255"/>
              <dgm:constr type="b" for="ch" forName="d3" refType="h" fact="0.78031"/>
              <dgm:constr type="w" for="ch" forName="d3" refType="w" fact="0.1995"/>
              <dgm:constr type="h" for="ch" forName="d3" refType="h" fact="0.332"/>
              <dgm:constr type="w" for="ch" forName="circle4" refType="w" fact="0.6"/>
              <dgm:constr type="h" for="ch" forName="circle4" refType="w" refFor="ch" refForName="circle4"/>
              <dgm:constr type="ctrX" for="ch" forName="circle4" refType="ctrX" refFor="ch" refForName="circle1"/>
              <dgm:constr type="ctrY" for="ch" forName="circle4" refType="ctrY" refFor="ch" refForName="circle1"/>
              <dgm:constr type="w" for="ch" forName="text4" refType="w" fact="0.3"/>
              <dgm:constr type="h" for="ch" forName="text4" refType="h" fact="0.17938"/>
              <dgm:constr type="r" for="ch" forName="text4" refType="w"/>
              <dgm:constr type="t" for="ch" forName="text4" refType="b" refFor="ch" refForName="text3"/>
              <dgm:constr type="l" for="ch" forName="line4" refType="w" fact="0.625"/>
              <dgm:constr type="ctrY" for="ch" forName="line4" refType="ctrY" refFor="ch" refForName="text4"/>
              <dgm:constr type="w" for="ch" forName="line4" refType="w" fact="0.075"/>
              <dgm:constr type="h" for="ch" forName="line4"/>
              <dgm:constr type="l" for="ch" forName="d4" refType="w" fact="0.48525"/>
              <dgm:constr type="b" for="ch" forName="d4" refType="h" fact="0.85594"/>
              <dgm:constr type="w" for="ch" forName="d4" refType="w" fact="0.1394"/>
              <dgm:constr type="h" for="ch" forName="d4" refType="h" fact="0.2282"/>
            </dgm:constrLst>
          </dgm:if>
          <dgm:if name="Name8" axis="ch" ptType="node" func="cnt" op="gte" val="5">
            <dgm:constrLst>
              <dgm:constr type="primFontSz" for="des" ptType="node" op="equ" val="65"/>
              <dgm:constr type="w" for="ch" forName="circle1" refType="w" fact="0.0667"/>
              <dgm:constr type="h" for="ch" forName="circle1" refType="w" refFor="ch" refForName="circle1"/>
              <dgm:constr type="ctrX" for="ch" forName="circle1" refType="w" fact="0.3"/>
              <dgm:constr type="ctrY" for="ch" forName="circle1" refType="h" fact="0.625"/>
              <dgm:constr type="w" for="ch" forName="text1" refType="w" fact="0.3"/>
              <dgm:constr type="h" for="ch" forName="text1" refType="h" fact="0.1324"/>
              <dgm:constr type="r" for="ch" forName="text1" refType="w"/>
              <dgm:constr type="ctrY" for="ch" forName="text1" refType="h" fact="0.13"/>
              <dgm:constr type="l" for="ch" forName="line1" refType="w" fact="0.625"/>
              <dgm:constr type="ctrY" for="ch" forName="line1" refType="ctrY" refFor="ch" refForName="text1"/>
              <dgm:constr type="w" for="ch" forName="line1" refType="w" fact="0.075"/>
              <dgm:constr type="h" for="ch" forName="line1"/>
              <dgm:constr type="l" for="ch" forName="d1" refType="w" fact="0.3"/>
              <dgm:constr type="b" for="ch" forName="d1" refType="h" fact="0.625"/>
              <dgm:constr type="w" for="ch" forName="d1" refType="w" fact="0.3245"/>
              <dgm:constr type="h" for="ch" forName="d1" refType="h" fact="0.495"/>
              <dgm:constr type="w" for="ch" forName="circle2" refType="w" fact="0.2"/>
              <dgm:constr type="h" for="ch" forName="circle2" refType="w" refFor="ch" refForName="circle2"/>
              <dgm:constr type="ctrX" for="ch" forName="circle2" refType="w" fact="0.3"/>
              <dgm:constr type="ctrY" for="ch" forName="circle2" refType="h" fact="0.625"/>
              <dgm:constr type="w" for="ch" forName="text2" refType="w" fact="0.3"/>
              <dgm:constr type="h" for="ch" forName="text2" refType="h" fact="0.1324"/>
              <dgm:constr type="r" for="ch" forName="text2" refType="w"/>
              <dgm:constr type="ctrY" for="ch" forName="text2" refType="h" fact="0.27"/>
              <dgm:constr type="l" for="ch" forName="line2" refType="w" fact="0.625"/>
              <dgm:constr type="ctrY" for="ch" forName="line2" refType="ctrY" refFor="ch" refForName="text2"/>
              <dgm:constr type="w" for="ch" forName="line2" refType="w" fact="0.075"/>
              <dgm:constr type="h" for="ch" forName="line2"/>
              <dgm:constr type="l" for="ch" forName="d2" refType="w" fact="0.3498"/>
              <dgm:constr type="b" for="ch" forName="d2" refType="h" fact="0.682"/>
              <dgm:constr type="w" for="ch" forName="d2" refType="w" fact="0.275"/>
              <dgm:constr type="h" for="ch" forName="d2" refType="h" fact="0.41215"/>
              <dgm:constr type="w" for="ch" forName="circle3" refType="w" fact="0.3334"/>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1324"/>
              <dgm:constr type="r" for="ch" forName="text3" refType="w"/>
              <dgm:constr type="ctrY" for="ch" forName="text3" refType="h" fact="0.41"/>
              <dgm:constr type="l" for="ch" forName="line3" refType="w" fact="0.625"/>
              <dgm:constr type="ctrY" for="ch" forName="line3" refType="ctrY" refFor="ch" refForName="text3"/>
              <dgm:constr type="w" for="ch" forName="line3" refType="w" fact="0.075"/>
              <dgm:constr type="h" for="ch" forName="line3"/>
              <dgm:constr type="l" for="ch" forName="d3" refType="w" fact="0.394"/>
              <dgm:constr type="b" for="ch" forName="d3" refType="h" fact="0.735"/>
              <dgm:constr type="w" for="ch" forName="d3" refType="w" fact="0.231"/>
              <dgm:constr type="h" for="ch" forName="d3" refType="h" fact="0.325"/>
              <dgm:constr type="w" for="ch" forName="circle4" refType="w" fact="0.4667"/>
              <dgm:constr type="h" for="ch" forName="circle4" refType="w" refFor="ch" refForName="circle4"/>
              <dgm:constr type="ctrX" for="ch" forName="circle4" refType="ctrX" refFor="ch" refForName="circle1"/>
              <dgm:constr type="ctrY" for="ch" forName="circle4" refType="ctrY" refFor="ch" refForName="circle1"/>
              <dgm:constr type="w" for="ch" forName="text4" refType="w" fact="0.3"/>
              <dgm:constr type="h" for="ch" forName="text4" refType="h" fact="0.1324"/>
              <dgm:constr type="r" for="ch" forName="text4" refType="w"/>
              <dgm:constr type="ctrY" for="ch" forName="text4" refType="h" fact="0.547"/>
              <dgm:constr type="l" for="ch" forName="line4" refType="w" fact="0.625"/>
              <dgm:constr type="ctrY" for="ch" forName="line4" refType="ctrY" refFor="ch" refForName="text4"/>
              <dgm:constr type="w" for="ch" forName="line4" refType="w" fact="0.075"/>
              <dgm:constr type="h" for="ch" forName="line4"/>
              <dgm:constr type="l" for="ch" forName="d4" refType="w" fact="0.446"/>
              <dgm:constr type="b" for="ch" forName="d4" refType="h" fact="0.795"/>
              <dgm:constr type="w" for="ch" forName="d4" refType="w" fact="0.179"/>
              <dgm:constr type="h" for="ch" forName="d4" refType="h" fact="0.248"/>
              <dgm:constr type="w" for="ch" forName="circle5" refType="w" fact="0.6"/>
              <dgm:constr type="h" for="ch" forName="circle5" refType="w" refFor="ch" refForName="circle5"/>
              <dgm:constr type="ctrX" for="ch" forName="circle5" refType="ctrX" refFor="ch" refForName="circle1"/>
              <dgm:constr type="ctrY" for="ch" forName="circle5" refType="ctrY" refFor="ch" refForName="circle1"/>
              <dgm:constr type="w" for="ch" forName="text5" refType="w" fact="0.3"/>
              <dgm:constr type="h" for="ch" forName="text5" refType="h" fact="0.1324"/>
              <dgm:constr type="r" for="ch" forName="text5" refType="w"/>
              <dgm:constr type="ctrY" for="ch" forName="text5" refType="h" fact="0.68"/>
              <dgm:constr type="l" for="ch" forName="line5" refType="w" fact="0.625"/>
              <dgm:constr type="ctrY" for="ch" forName="line5" refType="ctrY" refFor="ch" refForName="text5"/>
              <dgm:constr type="w" for="ch" forName="line5" refType="w" fact="0.075"/>
              <dgm:constr type="h" for="ch" forName="line5"/>
              <dgm:constr type="l" for="ch" forName="d5" refType="w" fact="0.495"/>
              <dgm:constr type="b" for="ch" forName="d5" refType="h" fact="0.855"/>
              <dgm:constr type="w" for="ch" forName="d5" refType="w" fact="0.13"/>
              <dgm:constr type="h" for="ch" forName="d5" refType="h" fact="0.175"/>
            </dgm:constrLst>
          </dgm:if>
          <dgm:else name="Name9"/>
        </dgm:choose>
      </dgm:if>
      <dgm:else name="Name10">
        <dgm:choose name="Name11">
          <dgm:if name="Name12" axis="ch" ptType="node" func="cnt" op="equ" val="0">
            <dgm:constrLst/>
          </dgm:if>
          <dgm:if name="Name13" axis="ch" ptType="node" func="cnt" op="equ" val="1">
            <dgm:constrLst>
              <dgm:constr type="primFontSz" for="des" ptType="node" op="equ" val="65"/>
              <dgm:constr type="w" for="ch" forName="circle1" refType="w" fact="0.6"/>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3125"/>
              <dgm:constr type="l" for="ch" forName="text1"/>
              <dgm:constr type="t" for="ch" forName="text1"/>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
              <dgm:constr type="b" for="ch" forName="d1" refType="h" fact="0.625"/>
              <dgm:constr type="w" for="ch" forName="d1" refType="w" fact="0.32475"/>
              <dgm:constr type="h" for="ch" forName="d1" refType="h" fact="0.469"/>
            </dgm:constrLst>
          </dgm:if>
          <dgm:if name="Name14" axis="ch" ptType="node" func="cnt" op="equ" val="2">
            <dgm:constrLst>
              <dgm:constr type="primFontSz" for="des" ptType="node" op="equ" val="65"/>
              <dgm:constr type="w" for="ch" forName="circle1" refType="w" fact="0.2"/>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3125"/>
              <dgm:constr type="l" for="ch" forName="text1"/>
              <dgm:constr type="t" for="ch" forName="text1"/>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
              <dgm:constr type="b" for="ch" forName="d1" refType="h" fact="0.625"/>
              <dgm:constr type="w" for="ch" forName="d1" refType="w" fact="0.32475"/>
              <dgm:constr type="h" for="ch" forName="d1" refType="h" fact="0.469"/>
              <dgm:constr type="w" for="ch" forName="circle2" refType="w" fact="0.6"/>
              <dgm:constr type="h" for="ch" forName="circle2" refType="w" refFor="ch" refForName="circle2"/>
              <dgm:constr type="ctrX" for="ch" forName="circle2" refType="w" fact="0.7"/>
              <dgm:constr type="ctrY" for="ch" forName="circle2" refType="h" fact="0.625"/>
              <dgm:constr type="w" for="ch" forName="text2" refType="w" fact="0.3"/>
              <dgm:constr type="h" for="ch" forName="text2" refType="h" fact="0.3125"/>
              <dgm:constr type="l" for="ch" forName="text2"/>
              <dgm:constr type="t" for="ch" forName="text2" refType="b" refFor="ch" refForName="text1"/>
              <dgm:constr type="l" for="ch" forName="line2" refType="r" refFor="ch" refForName="text2"/>
              <dgm:constr type="ctrY" for="ch" forName="line2" refType="ctrY" refFor="ch" refForName="text2"/>
              <dgm:constr type="r" for="ch" forName="line2" refType="w" fact="0.375"/>
              <dgm:constr type="h" for="ch" forName="line2"/>
              <dgm:constr type="r" for="ch" forName="d2" refType="w" fact="0.55675"/>
              <dgm:constr type="b" for="ch" forName="d2" refType="h" fact="0.7975"/>
              <dgm:constr type="w" for="ch" forName="d2" refType="w" fact="0.1815"/>
              <dgm:constr type="h" for="ch" forName="d2" refType="h" fact="0.3283"/>
            </dgm:constrLst>
          </dgm:if>
          <dgm:if name="Name15" axis="ch" ptType="node" func="cnt" op="equ" val="3">
            <dgm:constrLst>
              <dgm:constr type="primFontSz" for="des" ptType="node" op="equ" val="65"/>
              <dgm:constr type="w" for="ch" forName="circle1" refType="w" fact="0.12"/>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21875"/>
              <dgm:constr type="l" for="ch" forName="text1"/>
              <dgm:constr type="t" for="ch" forName="text1"/>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
              <dgm:constr type="b" for="ch" forName="d1" refType="h" fact="0.625"/>
              <dgm:constr type="w" for="ch" forName="d1" refType="w" fact="0.3247"/>
              <dgm:constr type="h" for="ch" forName="d1" refType="h" fact="0.5155"/>
              <dgm:constr type="w" for="ch" forName="circle2" refType="w" fact="0.36"/>
              <dgm:constr type="h" for="ch" forName="circle2" refType="w" refFor="ch" refForName="circle2"/>
              <dgm:constr type="ctrX" for="ch" forName="circle2" refType="w" fact="0.7"/>
              <dgm:constr type="ctrY" for="ch" forName="circle2" refType="h" fact="0.625"/>
              <dgm:constr type="w" for="ch" forName="text2" refType="w" fact="0.3"/>
              <dgm:constr type="h" for="ch" forName="text2" refType="h" fact="0.21875"/>
              <dgm:constr type="l" for="ch" forName="text2"/>
              <dgm:constr type="t" for="ch" forName="text2" refType="b" refFor="ch" refForName="text1"/>
              <dgm:constr type="l" for="ch" forName="line2" refType="r" refFor="ch" refForName="text2"/>
              <dgm:constr type="ctrY" for="ch" forName="line2" refType="ctrY" refFor="ch" refForName="text2"/>
              <dgm:constr type="r" for="ch" forName="line2" refType="w" fact="0.375"/>
              <dgm:constr type="h" for="ch" forName="line2"/>
              <dgm:constr type="r" for="ch" forName="d2" refType="w" fact="0.614"/>
              <dgm:constr type="b" for="ch" forName="d2" refType="h" fact="0.72969"/>
              <dgm:constr type="w" for="ch" forName="d2" refType="w" fact="0.2387"/>
              <dgm:constr type="h" for="ch" forName="d2" refType="h" fact="0.4017"/>
              <dgm:constr type="w" for="ch" forName="circle3" refType="w" fact="0.6"/>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21875"/>
              <dgm:constr type="l" for="ch" forName="text3"/>
              <dgm:constr type="t" for="ch" forName="text3" refType="b" refFor="ch" refForName="text2"/>
              <dgm:constr type="l" for="ch" forName="line3" refType="r" refFor="ch" refForName="text3"/>
              <dgm:constr type="ctrY" for="ch" forName="line3" refType="ctrY" refFor="ch" refForName="text3"/>
              <dgm:constr type="r" for="ch" forName="line3" refType="w" fact="0.375"/>
              <dgm:constr type="h" for="ch" forName="line3"/>
              <dgm:constr type="r" for="ch" forName="d3" refType="w" fact="0.52825"/>
              <dgm:constr type="b" for="ch" forName="d3" refType="h" fact="0.83375"/>
              <dgm:constr type="w" for="ch" forName="d3" refType="w" fact="0.1527"/>
              <dgm:constr type="h" for="ch" forName="d3" refType="h" fact="0.287"/>
            </dgm:constrLst>
          </dgm:if>
          <dgm:if name="Name16" axis="ch" ptType="node" func="cnt" op="equ" val="4">
            <dgm:constrLst>
              <dgm:constr type="primFontSz" for="des" ptType="node" op="equ" val="65"/>
              <dgm:constr type="w" for="ch" forName="circle1" refType="w" fact="0.0857"/>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17938"/>
              <dgm:constr type="l" for="ch" forName="text1"/>
              <dgm:constr type="t" for="ch" forName="text1"/>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05"/>
              <dgm:constr type="b" for="ch" forName="d1" refType="h" fact="0.62"/>
              <dgm:constr type="w" for="ch" forName="d1" refType="w" fact="0.33"/>
              <dgm:constr type="h" for="ch" forName="d1" refType="h" fact="0.53"/>
              <dgm:constr type="w" for="ch" forName="circle2" refType="w" fact="0.2571"/>
              <dgm:constr type="h" for="ch" forName="circle2" refType="w" refFor="ch" refForName="circle2"/>
              <dgm:constr type="ctrX" for="ch" forName="circle2" refType="w" fact="0.7"/>
              <dgm:constr type="ctrY" for="ch" forName="circle2" refType="h" fact="0.625"/>
              <dgm:constr type="w" for="ch" forName="text2" refType="w" fact="0.3"/>
              <dgm:constr type="h" for="ch" forName="text2" refType="h" fact="0.17938"/>
              <dgm:constr type="l" for="ch" forName="text2"/>
              <dgm:constr type="t" for="ch" forName="text2" refType="b" refFor="ch" refForName="text1"/>
              <dgm:constr type="l" for="ch" forName="line2" refType="r" refFor="ch" refForName="text2"/>
              <dgm:constr type="ctrY" for="ch" forName="line2" refType="ctrY" refFor="ch" refForName="text2"/>
              <dgm:constr type="r" for="ch" forName="line2" refType="w" fact="0.375"/>
              <dgm:constr type="h" for="ch" forName="line2"/>
              <dgm:constr type="r" for="ch" forName="d2" refType="w" fact="0.63375"/>
              <dgm:constr type="b" for="ch" forName="d2" refType="h" fact="0.70438"/>
              <dgm:constr type="w" for="ch" forName="d2" refType="w" fact="0.2585"/>
              <dgm:constr type="h" for="ch" forName="d2" refType="h" fact="0.43525"/>
              <dgm:constr type="w" for="ch" forName="circle3" refType="w" fact="0.4285"/>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17938"/>
              <dgm:constr type="l" for="ch" forName="text3"/>
              <dgm:constr type="t" for="ch" forName="text3" refType="b" refFor="ch" refForName="text2"/>
              <dgm:constr type="l" for="ch" forName="line3" refType="r" refFor="ch" refForName="text3"/>
              <dgm:constr type="ctrY" for="ch" forName="line3" refType="ctrY" refFor="ch" refForName="text3"/>
              <dgm:constr type="r" for="ch" forName="line3" refType="w" fact="0.375"/>
              <dgm:constr type="h" for="ch" forName="line3"/>
              <dgm:constr type="r" for="ch" forName="d3" refType="w" fact="0.5745"/>
              <dgm:constr type="b" for="ch" forName="d3" refType="h" fact="0.78031"/>
              <dgm:constr type="w" for="ch" forName="d3" refType="w" fact="0.1995"/>
              <dgm:constr type="h" for="ch" forName="d3" refType="h" fact="0.332"/>
              <dgm:constr type="w" for="ch" forName="circle4" refType="w" fact="0.6"/>
              <dgm:constr type="h" for="ch" forName="circle4" refType="w" refFor="ch" refForName="circle4"/>
              <dgm:constr type="ctrX" for="ch" forName="circle4" refType="ctrX" refFor="ch" refForName="circle1"/>
              <dgm:constr type="ctrY" for="ch" forName="circle4" refType="ctrY" refFor="ch" refForName="circle1"/>
              <dgm:constr type="w" for="ch" forName="text4" refType="w" fact="0.3"/>
              <dgm:constr type="h" for="ch" forName="text4" refType="h" fact="0.17938"/>
              <dgm:constr type="l" for="ch" forName="text4"/>
              <dgm:constr type="t" for="ch" forName="text4" refType="b" refFor="ch" refForName="text3"/>
              <dgm:constr type="l" for="ch" forName="line4" refType="r" refFor="ch" refForName="text4"/>
              <dgm:constr type="ctrY" for="ch" forName="line4" refType="ctrY" refFor="ch" refForName="text4"/>
              <dgm:constr type="r" for="ch" forName="line4" refType="w" fact="0.375"/>
              <dgm:constr type="h" for="ch" forName="line4"/>
              <dgm:constr type="r" for="ch" forName="d4" refType="w" fact="0.51475"/>
              <dgm:constr type="b" for="ch" forName="d4" refType="h" fact="0.85594"/>
              <dgm:constr type="w" for="ch" forName="d4" refType="w" fact="0.1394"/>
              <dgm:constr type="h" for="ch" forName="d4" refType="h" fact="0.2282"/>
            </dgm:constrLst>
          </dgm:if>
          <dgm:if name="Name17" axis="ch" ptType="node" func="cnt" op="gte" val="5">
            <dgm:constrLst>
              <dgm:constr type="primFontSz" for="des" ptType="node" op="equ" val="65"/>
              <dgm:constr type="w" for="ch" forName="circle1" refType="w" fact="0.0667"/>
              <dgm:constr type="h" for="ch" forName="circle1" refType="w" refFor="ch" refForName="circle1"/>
              <dgm:constr type="ctrX" for="ch" forName="circle1" refType="w" fact="0.7"/>
              <dgm:constr type="ctrY" for="ch" forName="circle1" refType="h" fact="0.625"/>
              <dgm:constr type="w" for="ch" forName="text1" refType="w" fact="0.3"/>
              <dgm:constr type="h" for="ch" forName="text1" refType="h" fact="0.1324"/>
              <dgm:constr type="l" for="ch" forName="text1"/>
              <dgm:constr type="ctrY" for="ch" forName="text1" refType="h" fact="0.13"/>
              <dgm:constr type="l" for="ch" forName="line1" refType="r" refFor="ch" refForName="text1"/>
              <dgm:constr type="ctrY" for="ch" forName="line1" refType="ctrY" refFor="ch" refForName="text1"/>
              <dgm:constr type="r" for="ch" forName="line1" refType="w" fact="0.375"/>
              <dgm:constr type="h" for="ch" forName="line1"/>
              <dgm:constr type="r" for="ch" forName="d1" refType="w" fact="0.7"/>
              <dgm:constr type="b" for="ch" forName="d1" refType="h" fact="0.625"/>
              <dgm:constr type="w" for="ch" forName="d1" refType="w" fact="0.3245"/>
              <dgm:constr type="h" for="ch" forName="d1" refType="h" fact="0.495"/>
              <dgm:constr type="w" for="ch" forName="circle2" refType="w" fact="0.2"/>
              <dgm:constr type="h" for="ch" forName="circle2" refType="w" refFor="ch" refForName="circle2"/>
              <dgm:constr type="ctrX" for="ch" forName="circle2" refType="w" fact="0.7"/>
              <dgm:constr type="ctrY" for="ch" forName="circle2" refType="h" fact="0.625"/>
              <dgm:constr type="w" for="ch" forName="text2" refType="w" fact="0.3"/>
              <dgm:constr type="h" for="ch" forName="text2" refType="h" fact="0.1324"/>
              <dgm:constr type="l" for="ch" forName="text2"/>
              <dgm:constr type="ctrY" for="ch" forName="text2" refType="h" fact="0.27"/>
              <dgm:constr type="l" for="ch" forName="line2" refType="r" refFor="ch" refForName="text2"/>
              <dgm:constr type="ctrY" for="ch" forName="line2" refType="ctrY" refFor="ch" refForName="text2"/>
              <dgm:constr type="r" for="ch" forName="line2" refType="w" fact="0.375"/>
              <dgm:constr type="h" for="ch" forName="line2"/>
              <dgm:constr type="r" for="ch" forName="d2" refType="w" fact="0.6502"/>
              <dgm:constr type="b" for="ch" forName="d2" refType="h" fact="0.682"/>
              <dgm:constr type="w" for="ch" forName="d2" refType="w" fact="0.275"/>
              <dgm:constr type="h" for="ch" forName="d2" refType="h" fact="0.41215"/>
              <dgm:constr type="w" for="ch" forName="circle3" refType="w" fact="0.3334"/>
              <dgm:constr type="h" for="ch" forName="circle3" refType="w" refFor="ch" refForName="circle3"/>
              <dgm:constr type="ctrX" for="ch" forName="circle3" refType="ctrX" refFor="ch" refForName="circle1"/>
              <dgm:constr type="ctrY" for="ch" forName="circle3" refType="ctrY" refFor="ch" refForName="circle1"/>
              <dgm:constr type="w" for="ch" forName="text3" refType="w" fact="0.3"/>
              <dgm:constr type="h" for="ch" forName="text3" refType="h" fact="0.1324"/>
              <dgm:constr type="l" for="ch" forName="text3"/>
              <dgm:constr type="ctrY" for="ch" forName="text3" refType="h" fact="0.41"/>
              <dgm:constr type="l" for="ch" forName="line3" refType="r" refFor="ch" refForName="text3"/>
              <dgm:constr type="ctrY" for="ch" forName="line3" refType="ctrY" refFor="ch" refForName="text3"/>
              <dgm:constr type="r" for="ch" forName="line3" refType="w" fact="0.375"/>
              <dgm:constr type="h" for="ch" forName="line3"/>
              <dgm:constr type="r" for="ch" forName="d3" refType="w" fact="0.606"/>
              <dgm:constr type="b" for="ch" forName="d3" refType="h" fact="0.735"/>
              <dgm:constr type="w" for="ch" forName="d3" refType="w" fact="0.231"/>
              <dgm:constr type="h" for="ch" forName="d3" refType="h" fact="0.325"/>
              <dgm:constr type="w" for="ch" forName="circle4" refType="w" fact="0.4667"/>
              <dgm:constr type="h" for="ch" forName="circle4" refType="w" refFor="ch" refForName="circle4"/>
              <dgm:constr type="ctrX" for="ch" forName="circle4" refType="ctrX" refFor="ch" refForName="circle1"/>
              <dgm:constr type="ctrY" for="ch" forName="circle4" refType="ctrY" refFor="ch" refForName="circle1"/>
              <dgm:constr type="w" for="ch" forName="text4" refType="w" fact="0.3"/>
              <dgm:constr type="h" for="ch" forName="text4" refType="h" fact="0.1324"/>
              <dgm:constr type="l" for="ch" forName="text4"/>
              <dgm:constr type="ctrY" for="ch" forName="text4" refType="h" fact="0.547"/>
              <dgm:constr type="l" for="ch" forName="line4" refType="r" refFor="ch" refForName="text4"/>
              <dgm:constr type="ctrY" for="ch" forName="line4" refType="ctrY" refFor="ch" refForName="text4"/>
              <dgm:constr type="r" for="ch" forName="line4" refType="w" fact="0.375"/>
              <dgm:constr type="h" for="ch" forName="line4"/>
              <dgm:constr type="r" for="ch" forName="d4" refType="w" fact="0.554"/>
              <dgm:constr type="b" for="ch" forName="d4" refType="h" fact="0.795"/>
              <dgm:constr type="w" for="ch" forName="d4" refType="w" fact="0.179"/>
              <dgm:constr type="h" for="ch" forName="d4" refType="h" fact="0.248"/>
              <dgm:constr type="w" for="ch" forName="circle5" refType="w" fact="0.6"/>
              <dgm:constr type="h" for="ch" forName="circle5" refType="w" refFor="ch" refForName="circle5"/>
              <dgm:constr type="ctrX" for="ch" forName="circle5" refType="ctrX" refFor="ch" refForName="circle1"/>
              <dgm:constr type="ctrY" for="ch" forName="circle5" refType="ctrY" refFor="ch" refForName="circle1"/>
              <dgm:constr type="w" for="ch" forName="text5" refType="w" fact="0.3"/>
              <dgm:constr type="h" for="ch" forName="text5" refType="h" fact="0.1324"/>
              <dgm:constr type="l" for="ch" forName="text5"/>
              <dgm:constr type="ctrY" for="ch" forName="text5" refType="h" fact="0.68"/>
              <dgm:constr type="l" for="ch" forName="line5" refType="r" refFor="ch" refForName="text5"/>
              <dgm:constr type="ctrY" for="ch" forName="line5" refType="ctrY" refFor="ch" refForName="text5"/>
              <dgm:constr type="r" for="ch" forName="line5" refType="w" fact="0.375"/>
              <dgm:constr type="h" for="ch" forName="line5"/>
              <dgm:constr type="r" for="ch" forName="d5" refType="w" fact="0.505"/>
              <dgm:constr type="b" for="ch" forName="d5" refType="h" fact="0.855"/>
              <dgm:constr type="w" for="ch" forName="d5" refType="w" fact="0.13"/>
              <dgm:constr type="h" for="ch" forName="d5" refType="h" fact="0.175"/>
            </dgm:constrLst>
          </dgm:if>
          <dgm:else name="Name18"/>
        </dgm:choose>
      </dgm:else>
    </dgm:choose>
    <dgm:ruleLst/>
    <dgm:forEach name="Name19" axis="ch" ptType="node" cnt="1">
      <dgm:layoutNode name="circle1" styleLbl="lnNode1">
        <dgm:alg type="sp"/>
        <dgm:shape xmlns:r="http://schemas.openxmlformats.org/officeDocument/2006/relationships" type="ellipse" r:blip="">
          <dgm:adjLst/>
        </dgm:shape>
        <dgm:presOf/>
        <dgm:constrLst/>
        <dgm:ruleLst/>
      </dgm:layoutNode>
      <dgm:layoutNode name="text1" styleLbl="revTx">
        <dgm:varLst>
          <dgm:bulletEnabled val="1"/>
        </dgm:varLst>
        <dgm:choose name="Name20">
          <dgm:if name="Name21" func="var" arg="dir" op="equ" val="norm">
            <dgm:choose name="Name22">
              <dgm:if name="Name23" axis="root des" ptType="all node" func="maxDepth" op="gt" val="1">
                <dgm:alg type="tx">
                  <dgm:param type="parTxLTRAlign" val="l"/>
                  <dgm:param type="parTxRTLAlign" val="r"/>
                </dgm:alg>
              </dgm:if>
              <dgm:else name="Name24">
                <dgm:alg type="tx">
                  <dgm:param type="parTxLTRAlign" val="l"/>
                  <dgm:param type="parTxRTLAlign" val="l"/>
                </dgm:alg>
              </dgm:else>
            </dgm:choose>
          </dgm:if>
          <dgm:else name="Name25">
            <dgm:choose name="Name26">
              <dgm:if name="Name27" axis="root des" ptType="all node" func="maxDepth" op="gt" val="1">
                <dgm:alg type="tx">
                  <dgm:param type="parTxLTRAlign" val="l"/>
                  <dgm:param type="parTxRTLAlign" val="r"/>
                </dgm:alg>
              </dgm:if>
              <dgm:else name="Name28">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29">
          <dgm:if name="Name30" func="var" arg="dir" op="equ" val="norm">
            <dgm:constrLst>
              <dgm:constr type="tMarg" refType="primFontSz" fact="0.1"/>
              <dgm:constr type="bMarg" refType="primFontSz" fact="0.1"/>
              <dgm:constr type="rMarg" refType="primFontSz" fact="0.1"/>
            </dgm:constrLst>
          </dgm:if>
          <dgm:else name="Name31">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1" styleLbl="callout">
        <dgm:alg type="sp"/>
        <dgm:shape xmlns:r="http://schemas.openxmlformats.org/officeDocument/2006/relationships" type="line" r:blip="">
          <dgm:adjLst/>
        </dgm:shape>
        <dgm:presOf/>
        <dgm:constrLst/>
        <dgm:ruleLst/>
      </dgm:layoutNode>
      <dgm:layoutNode name="d1" styleLbl="callout">
        <dgm:alg type="sp"/>
        <dgm:choose name="Name32">
          <dgm:if name="Name33" func="var" arg="dir" op="equ" val="norm">
            <dgm:shape xmlns:r="http://schemas.openxmlformats.org/officeDocument/2006/relationships" rot="90" type="line" r:blip="">
              <dgm:adjLst/>
            </dgm:shape>
          </dgm:if>
          <dgm:else name="Name34">
            <dgm:shape xmlns:r="http://schemas.openxmlformats.org/officeDocument/2006/relationships" rot="180" type="line" r:blip="">
              <dgm:adjLst/>
            </dgm:shape>
          </dgm:else>
        </dgm:choose>
        <dgm:presOf/>
        <dgm:constrLst/>
        <dgm:ruleLst/>
      </dgm:layoutNode>
    </dgm:forEach>
    <dgm:forEach name="Name35" axis="ch" ptType="node" st="2" cnt="1">
      <dgm:layoutNode name="circle2" styleLbl="lnNode1">
        <dgm:alg type="sp"/>
        <dgm:shape xmlns:r="http://schemas.openxmlformats.org/officeDocument/2006/relationships" type="ellipse" r:blip="" zOrderOff="-5">
          <dgm:adjLst/>
        </dgm:shape>
        <dgm:presOf/>
        <dgm:constrLst/>
        <dgm:ruleLst/>
      </dgm:layoutNode>
      <dgm:layoutNode name="text2" styleLbl="revTx">
        <dgm:varLst>
          <dgm:bulletEnabled val="1"/>
        </dgm:varLst>
        <dgm:choose name="Name36">
          <dgm:if name="Name37" func="var" arg="dir" op="equ" val="norm">
            <dgm:choose name="Name38">
              <dgm:if name="Name39" axis="root des" ptType="all node" func="maxDepth" op="gt" val="1">
                <dgm:alg type="tx">
                  <dgm:param type="parTxLTRAlign" val="l"/>
                  <dgm:param type="parTxRTLAlign" val="r"/>
                </dgm:alg>
              </dgm:if>
              <dgm:else name="Name40">
                <dgm:alg type="tx">
                  <dgm:param type="parTxLTRAlign" val="l"/>
                  <dgm:param type="parTxRTLAlign" val="l"/>
                </dgm:alg>
              </dgm:else>
            </dgm:choose>
          </dgm:if>
          <dgm:else name="Name41">
            <dgm:choose name="Name42">
              <dgm:if name="Name43" axis="root des" ptType="all node" func="maxDepth" op="gt" val="1">
                <dgm:alg type="tx">
                  <dgm:param type="parTxLTRAlign" val="l"/>
                  <dgm:param type="parTxRTLAlign" val="r"/>
                </dgm:alg>
              </dgm:if>
              <dgm:else name="Name44">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45">
          <dgm:if name="Name46" func="var" arg="dir" op="equ" val="norm">
            <dgm:constrLst>
              <dgm:constr type="tMarg" refType="primFontSz" fact="0.1"/>
              <dgm:constr type="bMarg" refType="primFontSz" fact="0.1"/>
              <dgm:constr type="rMarg" refType="primFontSz" fact="0.1"/>
            </dgm:constrLst>
          </dgm:if>
          <dgm:else name="Name47">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2" styleLbl="callout">
        <dgm:alg type="sp"/>
        <dgm:shape xmlns:r="http://schemas.openxmlformats.org/officeDocument/2006/relationships" type="line" r:blip="">
          <dgm:adjLst/>
        </dgm:shape>
        <dgm:presOf/>
        <dgm:constrLst/>
        <dgm:ruleLst/>
      </dgm:layoutNode>
      <dgm:layoutNode name="d2" styleLbl="callout">
        <dgm:alg type="sp"/>
        <dgm:choose name="Name48">
          <dgm:if name="Name49" func="var" arg="dir" op="equ" val="norm">
            <dgm:shape xmlns:r="http://schemas.openxmlformats.org/officeDocument/2006/relationships" rot="90" type="line" r:blip="">
              <dgm:adjLst/>
            </dgm:shape>
          </dgm:if>
          <dgm:else name="Name50">
            <dgm:shape xmlns:r="http://schemas.openxmlformats.org/officeDocument/2006/relationships" rot="180" type="line" r:blip="">
              <dgm:adjLst/>
            </dgm:shape>
          </dgm:else>
        </dgm:choose>
        <dgm:presOf/>
        <dgm:constrLst/>
        <dgm:ruleLst/>
      </dgm:layoutNode>
    </dgm:forEach>
    <dgm:forEach name="Name51" axis="ch" ptType="node" st="3" cnt="1">
      <dgm:layoutNode name="circle3" styleLbl="lnNode1">
        <dgm:alg type="sp"/>
        <dgm:shape xmlns:r="http://schemas.openxmlformats.org/officeDocument/2006/relationships" type="ellipse" r:blip="" zOrderOff="-10">
          <dgm:adjLst/>
        </dgm:shape>
        <dgm:presOf/>
        <dgm:constrLst/>
        <dgm:ruleLst/>
      </dgm:layoutNode>
      <dgm:layoutNode name="text3" styleLbl="revTx">
        <dgm:varLst>
          <dgm:bulletEnabled val="1"/>
        </dgm:varLst>
        <dgm:choose name="Name52">
          <dgm:if name="Name53" func="var" arg="dir" op="equ" val="norm">
            <dgm:choose name="Name54">
              <dgm:if name="Name55" axis="root des" ptType="all node" func="maxDepth" op="gt" val="1">
                <dgm:alg type="tx">
                  <dgm:param type="parTxLTRAlign" val="l"/>
                  <dgm:param type="parTxRTLAlign" val="r"/>
                </dgm:alg>
              </dgm:if>
              <dgm:else name="Name56">
                <dgm:alg type="tx">
                  <dgm:param type="parTxLTRAlign" val="l"/>
                  <dgm:param type="parTxRTLAlign" val="l"/>
                </dgm:alg>
              </dgm:else>
            </dgm:choose>
          </dgm:if>
          <dgm:else name="Name57">
            <dgm:choose name="Name58">
              <dgm:if name="Name59" axis="root des" ptType="all node" func="maxDepth" op="gt" val="1">
                <dgm:alg type="tx">
                  <dgm:param type="parTxLTRAlign" val="l"/>
                  <dgm:param type="parTxRTLAlign" val="r"/>
                </dgm:alg>
              </dgm:if>
              <dgm:else name="Name60">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61">
          <dgm:if name="Name62" func="var" arg="dir" op="equ" val="norm">
            <dgm:constrLst>
              <dgm:constr type="tMarg" refType="primFontSz" fact="0.1"/>
              <dgm:constr type="bMarg" refType="primFontSz" fact="0.1"/>
              <dgm:constr type="rMarg" refType="primFontSz" fact="0.1"/>
            </dgm:constrLst>
          </dgm:if>
          <dgm:else name="Name63">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3" styleLbl="callout">
        <dgm:alg type="sp"/>
        <dgm:shape xmlns:r="http://schemas.openxmlformats.org/officeDocument/2006/relationships" type="line" r:blip="">
          <dgm:adjLst/>
        </dgm:shape>
        <dgm:presOf/>
        <dgm:constrLst/>
        <dgm:ruleLst/>
      </dgm:layoutNode>
      <dgm:layoutNode name="d3" styleLbl="callout">
        <dgm:alg type="sp"/>
        <dgm:choose name="Name64">
          <dgm:if name="Name65" func="var" arg="dir" op="equ" val="norm">
            <dgm:shape xmlns:r="http://schemas.openxmlformats.org/officeDocument/2006/relationships" rot="90" type="line" r:blip="">
              <dgm:adjLst/>
            </dgm:shape>
          </dgm:if>
          <dgm:else name="Name66">
            <dgm:shape xmlns:r="http://schemas.openxmlformats.org/officeDocument/2006/relationships" rot="180" type="line" r:blip="">
              <dgm:adjLst/>
            </dgm:shape>
          </dgm:else>
        </dgm:choose>
        <dgm:presOf/>
        <dgm:constrLst/>
        <dgm:ruleLst/>
      </dgm:layoutNode>
    </dgm:forEach>
    <dgm:forEach name="Name67" axis="ch" ptType="node" st="4" cnt="1">
      <dgm:layoutNode name="circle4" styleLbl="lnNode1">
        <dgm:alg type="sp"/>
        <dgm:shape xmlns:r="http://schemas.openxmlformats.org/officeDocument/2006/relationships" type="ellipse" r:blip="" zOrderOff="-15">
          <dgm:adjLst/>
        </dgm:shape>
        <dgm:presOf/>
        <dgm:constrLst/>
        <dgm:ruleLst/>
      </dgm:layoutNode>
      <dgm:layoutNode name="text4" styleLbl="revTx">
        <dgm:varLst>
          <dgm:bulletEnabled val="1"/>
        </dgm:varLst>
        <dgm:choose name="Name68">
          <dgm:if name="Name69" func="var" arg="dir" op="equ" val="norm">
            <dgm:choose name="Name70">
              <dgm:if name="Name71" axis="root des" ptType="all node" func="maxDepth" op="gt" val="1">
                <dgm:alg type="tx">
                  <dgm:param type="parTxLTRAlign" val="l"/>
                  <dgm:param type="parTxRTLAlign" val="r"/>
                </dgm:alg>
              </dgm:if>
              <dgm:else name="Name72">
                <dgm:alg type="tx">
                  <dgm:param type="parTxLTRAlign" val="l"/>
                  <dgm:param type="parTxRTLAlign" val="l"/>
                </dgm:alg>
              </dgm:else>
            </dgm:choose>
          </dgm:if>
          <dgm:else name="Name73">
            <dgm:choose name="Name74">
              <dgm:if name="Name75" axis="root des" ptType="all node" func="maxDepth" op="gt" val="1">
                <dgm:alg type="tx">
                  <dgm:param type="parTxLTRAlign" val="l"/>
                  <dgm:param type="parTxRTLAlign" val="r"/>
                </dgm:alg>
              </dgm:if>
              <dgm:else name="Name76">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77">
          <dgm:if name="Name78" func="var" arg="dir" op="equ" val="norm">
            <dgm:constrLst>
              <dgm:constr type="tMarg" refType="primFontSz" fact="0.1"/>
              <dgm:constr type="bMarg" refType="primFontSz" fact="0.1"/>
              <dgm:constr type="rMarg" refType="primFontSz" fact="0.1"/>
            </dgm:constrLst>
          </dgm:if>
          <dgm:else name="Name79">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4" styleLbl="callout">
        <dgm:alg type="sp"/>
        <dgm:shape xmlns:r="http://schemas.openxmlformats.org/officeDocument/2006/relationships" type="line" r:blip="">
          <dgm:adjLst/>
        </dgm:shape>
        <dgm:presOf/>
        <dgm:constrLst/>
        <dgm:ruleLst/>
      </dgm:layoutNode>
      <dgm:layoutNode name="d4" styleLbl="callout">
        <dgm:alg type="sp"/>
        <dgm:choose name="Name80">
          <dgm:if name="Name81" func="var" arg="dir" op="equ" val="norm">
            <dgm:shape xmlns:r="http://schemas.openxmlformats.org/officeDocument/2006/relationships" rot="90" type="line" r:blip="">
              <dgm:adjLst/>
            </dgm:shape>
          </dgm:if>
          <dgm:else name="Name82">
            <dgm:shape xmlns:r="http://schemas.openxmlformats.org/officeDocument/2006/relationships" rot="180" type="line" r:blip="">
              <dgm:adjLst/>
            </dgm:shape>
          </dgm:else>
        </dgm:choose>
        <dgm:presOf/>
        <dgm:constrLst/>
        <dgm:ruleLst/>
      </dgm:layoutNode>
    </dgm:forEach>
    <dgm:forEach name="Name83" axis="ch" ptType="node" st="5" cnt="1">
      <dgm:layoutNode name="circle5" styleLbl="lnNode1">
        <dgm:alg type="sp"/>
        <dgm:shape xmlns:r="http://schemas.openxmlformats.org/officeDocument/2006/relationships" type="ellipse" r:blip="" zOrderOff="-20">
          <dgm:adjLst/>
        </dgm:shape>
        <dgm:presOf/>
        <dgm:constrLst/>
        <dgm:ruleLst/>
      </dgm:layoutNode>
      <dgm:layoutNode name="text5" styleLbl="revTx">
        <dgm:varLst>
          <dgm:bulletEnabled val="1"/>
        </dgm:varLst>
        <dgm:choose name="Name84">
          <dgm:if name="Name85" func="var" arg="dir" op="equ" val="norm">
            <dgm:choose name="Name86">
              <dgm:if name="Name87" axis="root des" ptType="all node" func="maxDepth" op="gt" val="1">
                <dgm:alg type="tx">
                  <dgm:param type="parTxLTRAlign" val="l"/>
                  <dgm:param type="parTxRTLAlign" val="r"/>
                </dgm:alg>
              </dgm:if>
              <dgm:else name="Name88">
                <dgm:alg type="tx">
                  <dgm:param type="parTxLTRAlign" val="l"/>
                  <dgm:param type="parTxRTLAlign" val="l"/>
                </dgm:alg>
              </dgm:else>
            </dgm:choose>
          </dgm:if>
          <dgm:else name="Name89">
            <dgm:choose name="Name90">
              <dgm:if name="Name91" axis="root des" ptType="all node" func="maxDepth" op="gt" val="1">
                <dgm:alg type="tx">
                  <dgm:param type="parTxLTRAlign" val="l"/>
                  <dgm:param type="parTxRTLAlign" val="r"/>
                </dgm:alg>
              </dgm:if>
              <dgm:else name="Name92">
                <dgm:alg type="tx">
                  <dgm:param type="parTxLTRAlign" val="r"/>
                  <dgm:param type="parTxRTLAlign" val="r"/>
                </dgm:alg>
              </dgm:else>
            </dgm:choose>
          </dgm:else>
        </dgm:choose>
        <dgm:shape xmlns:r="http://schemas.openxmlformats.org/officeDocument/2006/relationships" type="rect" r:blip="">
          <dgm:adjLst/>
        </dgm:shape>
        <dgm:presOf axis="desOrSelf" ptType="node"/>
        <dgm:choose name="Name93">
          <dgm:if name="Name94" func="var" arg="dir" op="equ" val="norm">
            <dgm:constrLst>
              <dgm:constr type="tMarg" refType="primFontSz" fact="0.1"/>
              <dgm:constr type="bMarg" refType="primFontSz" fact="0.1"/>
              <dgm:constr type="rMarg" refType="primFontSz" fact="0.1"/>
            </dgm:constrLst>
          </dgm:if>
          <dgm:else name="Name95">
            <dgm:constrLst>
              <dgm:constr type="tMarg" refType="primFontSz" fact="0.1"/>
              <dgm:constr type="bMarg" refType="primFontSz" fact="0.1"/>
              <dgm:constr type="lMarg" refType="primFontSz" fact="0.1"/>
            </dgm:constrLst>
          </dgm:else>
        </dgm:choose>
        <dgm:ruleLst>
          <dgm:rule type="primFontSz" val="5" fact="NaN" max="NaN"/>
        </dgm:ruleLst>
      </dgm:layoutNode>
      <dgm:layoutNode name="line5" styleLbl="callout">
        <dgm:alg type="sp"/>
        <dgm:shape xmlns:r="http://schemas.openxmlformats.org/officeDocument/2006/relationships" type="line" r:blip="">
          <dgm:adjLst/>
        </dgm:shape>
        <dgm:presOf/>
        <dgm:constrLst/>
        <dgm:ruleLst/>
      </dgm:layoutNode>
      <dgm:layoutNode name="d5" styleLbl="callout">
        <dgm:alg type="sp"/>
        <dgm:choose name="Name96">
          <dgm:if name="Name97" func="var" arg="dir" op="equ" val="norm">
            <dgm:shape xmlns:r="http://schemas.openxmlformats.org/officeDocument/2006/relationships" rot="90" type="line" r:blip="">
              <dgm:adjLst/>
            </dgm:shape>
          </dgm:if>
          <dgm:else name="Name98">
            <dgm:shape xmlns:r="http://schemas.openxmlformats.org/officeDocument/2006/relationships" rot="180" type="line" r:blip="">
              <dgm:adjLst/>
            </dgm:shape>
          </dgm:else>
        </dgm:choose>
        <dgm:presOf/>
        <dgm:constrLst/>
        <dgm:ruleLst/>
      </dgm:layoutNode>
    </dgm:forEach>
  </dgm:layoutNode>
</dgm:layoutDef>
</file>

<file path=xl/diagrams/layout2.xml><?xml version="1.0" encoding="utf-8"?>
<dgm:layoutDef xmlns:dgm="http://schemas.openxmlformats.org/drawingml/2006/diagram" xmlns:a="http://schemas.openxmlformats.org/drawingml/2006/main" uniqueId="urn:microsoft.com/office/officeart/2005/8/layout/cycle2">
  <dgm:title val=""/>
  <dgm:desc val=""/>
  <dgm:catLst>
    <dgm:cat type="cycle" pri="1000"/>
    <dgm:cat type="convert" pri="100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 modelId="3"/>
      </dgm:ptLst>
      <dgm:cxnLst>
        <dgm:cxn modelId="4" srcId="0" destId="1" srcOrd="0" destOrd="0"/>
        <dgm:cxn modelId="5" srcId="0" destId="2" srcOrd="1" destOrd="0"/>
        <dgm:cxn modelId="6" srcId="0" destId="3" srcOrd="2"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cycle">
    <dgm:varLst>
      <dgm:dir/>
      <dgm:resizeHandles val="exact"/>
    </dgm:varLst>
    <dgm:choose name="Name0">
      <dgm:if name="Name1" func="var" arg="dir" op="equ" val="norm">
        <dgm:choose name="Name2">
          <dgm:if name="Name3" axis="ch" ptType="node" func="cnt" op="gt" val="2">
            <dgm:alg type="cycle">
              <dgm:param type="stAng" val="0"/>
              <dgm:param type="spanAng" val="360"/>
            </dgm:alg>
          </dgm:if>
          <dgm:else name="Name4">
            <dgm:alg type="cycle">
              <dgm:param type="stAng" val="-90"/>
              <dgm:param type="spanAng" val="360"/>
            </dgm:alg>
          </dgm:else>
        </dgm:choose>
      </dgm:if>
      <dgm:else name="Name5">
        <dgm:choose name="Name6">
          <dgm:if name="Name7" axis="ch" ptType="node" func="cnt" op="gt" val="2">
            <dgm:alg type="cycle">
              <dgm:param type="stAng" val="0"/>
              <dgm:param type="spanAng" val="-360"/>
            </dgm:alg>
          </dgm:if>
          <dgm:else name="Name8">
            <dgm:alg type="cycle">
              <dgm:param type="stAng" val="90"/>
              <dgm:param type="spanAng" val="-360"/>
            </dgm:alg>
          </dgm:else>
        </dgm:choose>
      </dgm:else>
    </dgm:choose>
    <dgm:shape xmlns:r="http://schemas.openxmlformats.org/officeDocument/2006/relationships" r:blip="">
      <dgm:adjLst/>
    </dgm:shape>
    <dgm:presOf/>
    <dgm:constrLst>
      <dgm:constr type="w" for="ch" ptType="node" refType="w"/>
      <dgm:constr type="w" for="ch" ptType="sibTrans" refType="w" refFor="ch" refPtType="node" op="equ" fact="0.25"/>
      <dgm:constr type="sibSp" refType="w" refFor="ch" refPtType="node" fact="0.5"/>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lMarg" refType="primFontSz" fact="0.1"/>
          <dgm:constr type="rMarg" refType="primFontSz" fact="0.1"/>
          <dgm:constr type="tMarg" refType="primFontSz" fact="0.1"/>
          <dgm:constr type="bMarg" refType="primFontSz" fact="0.1"/>
        </dgm:constrLst>
        <dgm:ruleLst>
          <dgm:rule type="primFontSz" val="5" fact="NaN" max="NaN"/>
        </dgm:ruleLst>
      </dgm:layoutNode>
      <dgm:choose name="Name9">
        <dgm:if name="Name10" axis="par ch" ptType="doc node" func="cnt" op="gt" val="1">
          <dgm:forEach name="sibTransForEach" axis="followSib" ptType="sibTrans" hideLastTrans="0" cnt="1">
            <dgm:layoutNode name="sibTrans">
              <dgm:choose name="Name11">
                <dgm:if name="Name12" axis="par ch" ptType="doc node" func="cnt" op="lt" val="3">
                  <dgm:alg type="conn">
                    <dgm:param type="begPts" val="radial"/>
                    <dgm:param type="endPts" val="radial"/>
                  </dgm:alg>
                </dgm:if>
                <dgm:else name="Name13">
                  <dgm:alg type="conn">
                    <dgm:param type="begPts" val="auto"/>
                    <dgm:param type="endPts" val="auto"/>
                  </dgm:alg>
                </dgm:else>
              </dgm:choose>
              <dgm:shape xmlns:r="http://schemas.openxmlformats.org/officeDocument/2006/relationships" type="conn" r:blip="">
                <dgm:adjLst/>
              </dgm:shape>
              <dgm:presOf axis="self"/>
              <dgm:constrLst>
                <dgm:constr type="h" refType="w" fact="1.35"/>
                <dgm:constr type="connDist"/>
                <dgm:constr type="w" for="ch" refType="connDist" fact="0.45"/>
                <dgm:constr type="h" for="ch" refType="h"/>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if>
        <dgm:else name="Name14"/>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7" Type="http://schemas.openxmlformats.org/officeDocument/2006/relationships/image" Target="../media/image2.png"/><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1.png"/><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5.png"/><Relationship Id="rId4"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76200</xdr:colOff>
      <xdr:row>78</xdr:row>
      <xdr:rowOff>67734</xdr:rowOff>
    </xdr:from>
    <xdr:to>
      <xdr:col>8</xdr:col>
      <xdr:colOff>558801</xdr:colOff>
      <xdr:row>82</xdr:row>
      <xdr:rowOff>181186</xdr:rowOff>
    </xdr:to>
    <xdr:graphicFrame macro="">
      <xdr:nvGraphicFramePr>
        <xdr:cNvPr id="8" name="Diagramme 7">
          <a:extLst>
            <a:ext uri="{FF2B5EF4-FFF2-40B4-BE49-F238E27FC236}">
              <a16:creationId xmlns:a16="http://schemas.microsoft.com/office/drawing/2014/main" id="{DC2FC2F0-831D-AE4F-8845-5C016C82FEC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2</xdr:col>
      <xdr:colOff>169334</xdr:colOff>
      <xdr:row>64</xdr:row>
      <xdr:rowOff>135467</xdr:rowOff>
    </xdr:from>
    <xdr:to>
      <xdr:col>4</xdr:col>
      <xdr:colOff>585858</xdr:colOff>
      <xdr:row>74</xdr:row>
      <xdr:rowOff>59269</xdr:rowOff>
    </xdr:to>
    <xdr:pic>
      <xdr:nvPicPr>
        <xdr:cNvPr id="9" name="Image 8">
          <a:extLst>
            <a:ext uri="{FF2B5EF4-FFF2-40B4-BE49-F238E27FC236}">
              <a16:creationId xmlns:a16="http://schemas.microsoft.com/office/drawing/2014/main" id="{DDA969E8-0238-F37E-F303-B84D558BEF2B}"/>
            </a:ext>
          </a:extLst>
        </xdr:cNvPr>
        <xdr:cNvPicPr>
          <a:picLocks noChangeAspect="1"/>
        </xdr:cNvPicPr>
      </xdr:nvPicPr>
      <xdr:blipFill rotWithShape="1">
        <a:blip xmlns:r="http://schemas.openxmlformats.org/officeDocument/2006/relationships" r:embed="rId6"/>
        <a:srcRect b="7714"/>
        <a:stretch/>
      </xdr:blipFill>
      <xdr:spPr>
        <a:xfrm>
          <a:off x="651934" y="14401800"/>
          <a:ext cx="3007324" cy="2209802"/>
        </a:xfrm>
        <a:prstGeom prst="rect">
          <a:avLst/>
        </a:prstGeom>
      </xdr:spPr>
    </xdr:pic>
    <xdr:clientData/>
  </xdr:twoCellAnchor>
  <xdr:twoCellAnchor>
    <xdr:from>
      <xdr:col>4</xdr:col>
      <xdr:colOff>435290</xdr:colOff>
      <xdr:row>65</xdr:row>
      <xdr:rowOff>18414</xdr:rowOff>
    </xdr:from>
    <xdr:to>
      <xdr:col>6</xdr:col>
      <xdr:colOff>821267</xdr:colOff>
      <xdr:row>71</xdr:row>
      <xdr:rowOff>220133</xdr:rowOff>
    </xdr:to>
    <xdr:grpSp>
      <xdr:nvGrpSpPr>
        <xdr:cNvPr id="13" name="Groupe 12">
          <a:extLst>
            <a:ext uri="{FF2B5EF4-FFF2-40B4-BE49-F238E27FC236}">
              <a16:creationId xmlns:a16="http://schemas.microsoft.com/office/drawing/2014/main" id="{325DED79-4837-3BDC-73EB-0724CE26E01C}"/>
            </a:ext>
          </a:extLst>
        </xdr:cNvPr>
        <xdr:cNvGrpSpPr/>
      </xdr:nvGrpSpPr>
      <xdr:grpSpPr>
        <a:xfrm>
          <a:off x="3635690" y="14515464"/>
          <a:ext cx="3262527" cy="1573319"/>
          <a:chOff x="3807258" y="12312014"/>
          <a:chExt cx="6284351" cy="1573319"/>
        </a:xfrm>
      </xdr:grpSpPr>
      <xdr:sp macro="" textlink="">
        <xdr:nvSpPr>
          <xdr:cNvPr id="10" name="Flèche : droite 9">
            <a:extLst>
              <a:ext uri="{FF2B5EF4-FFF2-40B4-BE49-F238E27FC236}">
                <a16:creationId xmlns:a16="http://schemas.microsoft.com/office/drawing/2014/main" id="{9AE7E69F-7283-F8E1-3C53-E07A300E9060}"/>
              </a:ext>
            </a:extLst>
          </xdr:cNvPr>
          <xdr:cNvSpPr/>
        </xdr:nvSpPr>
        <xdr:spPr>
          <a:xfrm rot="14400964">
            <a:off x="3335921" y="12783351"/>
            <a:ext cx="1216236" cy="273561"/>
          </a:xfrm>
          <a:prstGeom prst="rightArrow">
            <a:avLst/>
          </a:prstGeom>
          <a:solidFill>
            <a:srgbClr val="F04A6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1" name="ZoneTexte 10">
            <a:extLst>
              <a:ext uri="{FF2B5EF4-FFF2-40B4-BE49-F238E27FC236}">
                <a16:creationId xmlns:a16="http://schemas.microsoft.com/office/drawing/2014/main" id="{665D1C83-4B43-FEF1-D57E-EF3311FA64B5}"/>
              </a:ext>
            </a:extLst>
          </xdr:cNvPr>
          <xdr:cNvSpPr txBox="1"/>
        </xdr:nvSpPr>
        <xdr:spPr>
          <a:xfrm>
            <a:off x="5274141" y="13428132"/>
            <a:ext cx="4817468" cy="457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Cliquer sur         pour</a:t>
            </a:r>
            <a:r>
              <a:rPr lang="fr-FR" sz="1100" baseline="0"/>
              <a:t> pour afficher les 2 colonnes spécifiques à My System</a:t>
            </a:r>
            <a:endParaRPr lang="fr-FR" sz="1100"/>
          </a:p>
        </xdr:txBody>
      </xdr:sp>
      <xdr:pic>
        <xdr:nvPicPr>
          <xdr:cNvPr id="12" name="Image 11">
            <a:extLst>
              <a:ext uri="{FF2B5EF4-FFF2-40B4-BE49-F238E27FC236}">
                <a16:creationId xmlns:a16="http://schemas.microsoft.com/office/drawing/2014/main" id="{B6CAC69D-4FD5-6DA0-9BC9-184A65FD684D}"/>
              </a:ext>
            </a:extLst>
          </xdr:cNvPr>
          <xdr:cNvPicPr>
            <a:picLocks noChangeAspect="1"/>
          </xdr:cNvPicPr>
        </xdr:nvPicPr>
        <xdr:blipFill>
          <a:blip xmlns:r="http://schemas.openxmlformats.org/officeDocument/2006/relationships" r:embed="rId7"/>
          <a:stretch>
            <a:fillRect/>
          </a:stretch>
        </xdr:blipFill>
        <xdr:spPr>
          <a:xfrm>
            <a:off x="6776826" y="13411202"/>
            <a:ext cx="439717" cy="231828"/>
          </a:xfrm>
          <a:prstGeom prst="rect">
            <a:avLst/>
          </a:prstGeom>
        </xdr:spPr>
      </xdr:pic>
    </xdr:grpSp>
    <xdr:clientData/>
  </xdr:twoCellAnchor>
  <xdr:twoCellAnchor>
    <xdr:from>
      <xdr:col>4</xdr:col>
      <xdr:colOff>736600</xdr:colOff>
      <xdr:row>70</xdr:row>
      <xdr:rowOff>0</xdr:rowOff>
    </xdr:from>
    <xdr:to>
      <xdr:col>4</xdr:col>
      <xdr:colOff>1096600</xdr:colOff>
      <xdr:row>71</xdr:row>
      <xdr:rowOff>95400</xdr:rowOff>
    </xdr:to>
    <xdr:sp macro="" textlink="">
      <xdr:nvSpPr>
        <xdr:cNvPr id="18" name="Ellipse 17">
          <a:extLst>
            <a:ext uri="{FF2B5EF4-FFF2-40B4-BE49-F238E27FC236}">
              <a16:creationId xmlns:a16="http://schemas.microsoft.com/office/drawing/2014/main" id="{07482D43-5868-4B38-8CA6-6094587483D1}"/>
            </a:ext>
          </a:extLst>
        </xdr:cNvPr>
        <xdr:cNvSpPr/>
      </xdr:nvSpPr>
      <xdr:spPr>
        <a:xfrm>
          <a:off x="3810000" y="15637933"/>
          <a:ext cx="360000" cy="324000"/>
        </a:xfrm>
        <a:prstGeom prst="ellipse">
          <a:avLst/>
        </a:prstGeom>
        <a:noFill/>
        <a:ln w="28575">
          <a:solidFill>
            <a:srgbClr val="F04A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1100" b="1">
              <a:solidFill>
                <a:srgbClr val="FF0000"/>
              </a:solidFill>
            </a:rPr>
            <a:t>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257175</xdr:colOff>
      <xdr:row>7</xdr:row>
      <xdr:rowOff>67522</xdr:rowOff>
    </xdr:from>
    <xdr:to>
      <xdr:col>10</xdr:col>
      <xdr:colOff>542925</xdr:colOff>
      <xdr:row>22</xdr:row>
      <xdr:rowOff>97155</xdr:rowOff>
    </xdr:to>
    <xdr:grpSp>
      <xdr:nvGrpSpPr>
        <xdr:cNvPr id="2" name="Groupe 1">
          <a:extLst>
            <a:ext uri="{FF2B5EF4-FFF2-40B4-BE49-F238E27FC236}">
              <a16:creationId xmlns:a16="http://schemas.microsoft.com/office/drawing/2014/main" id="{9218BB05-F509-4E53-8A1B-59D2ABD40635}"/>
            </a:ext>
          </a:extLst>
        </xdr:cNvPr>
        <xdr:cNvGrpSpPr/>
      </xdr:nvGrpSpPr>
      <xdr:grpSpPr>
        <a:xfrm>
          <a:off x="1562100" y="1705822"/>
          <a:ext cx="6886575" cy="2677583"/>
          <a:chOff x="1675562" y="1658107"/>
          <a:chExt cx="8522454" cy="4561490"/>
        </a:xfrm>
      </xdr:grpSpPr>
      <xdr:graphicFrame macro="">
        <xdr:nvGraphicFramePr>
          <xdr:cNvPr id="3" name="Diagram 4">
            <a:extLst>
              <a:ext uri="{FF2B5EF4-FFF2-40B4-BE49-F238E27FC236}">
                <a16:creationId xmlns:a16="http://schemas.microsoft.com/office/drawing/2014/main" id="{9E740F8F-DC14-36DB-D801-508EC4C69DEE}"/>
              </a:ext>
            </a:extLst>
          </xdr:cNvPr>
          <xdr:cNvGraphicFramePr/>
        </xdr:nvGraphicFramePr>
        <xdr:xfrm>
          <a:off x="3111708" y="2020054"/>
          <a:ext cx="6139898" cy="4199543"/>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sp macro="" textlink="">
        <xdr:nvSpPr>
          <xdr:cNvPr id="4" name="Shape 424">
            <a:extLst>
              <a:ext uri="{FF2B5EF4-FFF2-40B4-BE49-F238E27FC236}">
                <a16:creationId xmlns:a16="http://schemas.microsoft.com/office/drawing/2014/main" id="{E6A3A234-69E8-9673-4C41-EC37C9B79A24}"/>
              </a:ext>
            </a:extLst>
          </xdr:cNvPr>
          <xdr:cNvSpPr/>
        </xdr:nvSpPr>
        <xdr:spPr>
          <a:xfrm>
            <a:off x="5281132" y="3254364"/>
            <a:ext cx="1590458" cy="1869094"/>
          </a:xfrm>
          <a:custGeom>
            <a:avLst/>
            <a:gdLst/>
            <a:ahLst/>
            <a:cxnLst>
              <a:cxn ang="0">
                <a:pos x="wd2" y="hd2"/>
              </a:cxn>
              <a:cxn ang="5400000">
                <a:pos x="wd2" y="hd2"/>
              </a:cxn>
              <a:cxn ang="10800000">
                <a:pos x="wd2" y="hd2"/>
              </a:cxn>
              <a:cxn ang="16200000">
                <a:pos x="wd2" y="hd2"/>
              </a:cxn>
            </a:cxnLst>
            <a:rect l="0" t="0" r="r" b="b"/>
            <a:pathLst>
              <a:path w="21600" h="21600" extrusionOk="0">
                <a:moveTo>
                  <a:pt x="5499" y="10800"/>
                </a:moveTo>
                <a:cubicBezTo>
                  <a:pt x="5499" y="7872"/>
                  <a:pt x="7872" y="5499"/>
                  <a:pt x="10800" y="5499"/>
                </a:cubicBezTo>
                <a:cubicBezTo>
                  <a:pt x="13727" y="5499"/>
                  <a:pt x="16101" y="7872"/>
                  <a:pt x="16101" y="10800"/>
                </a:cubicBezTo>
                <a:cubicBezTo>
                  <a:pt x="16101" y="13727"/>
                  <a:pt x="13727" y="16101"/>
                  <a:pt x="10800" y="16101"/>
                </a:cubicBezTo>
                <a:cubicBezTo>
                  <a:pt x="7872" y="16101"/>
                  <a:pt x="5499" y="13727"/>
                  <a:pt x="5499" y="10800"/>
                </a:cubicBezTo>
                <a:close/>
                <a:moveTo>
                  <a:pt x="0" y="9882"/>
                </a:moveTo>
                <a:lnTo>
                  <a:pt x="0" y="11719"/>
                </a:lnTo>
                <a:cubicBezTo>
                  <a:pt x="0" y="12203"/>
                  <a:pt x="397" y="12600"/>
                  <a:pt x="882" y="12600"/>
                </a:cubicBezTo>
                <a:lnTo>
                  <a:pt x="1963" y="12600"/>
                </a:lnTo>
                <a:cubicBezTo>
                  <a:pt x="2448" y="12600"/>
                  <a:pt x="2965" y="12978"/>
                  <a:pt x="3113" y="13440"/>
                </a:cubicBezTo>
                <a:lnTo>
                  <a:pt x="3495" y="14369"/>
                </a:lnTo>
                <a:cubicBezTo>
                  <a:pt x="3719" y="14800"/>
                  <a:pt x="3622" y="15433"/>
                  <a:pt x="3279" y="15776"/>
                </a:cubicBezTo>
                <a:lnTo>
                  <a:pt x="2514" y="16541"/>
                </a:lnTo>
                <a:cubicBezTo>
                  <a:pt x="2171" y="16884"/>
                  <a:pt x="2171" y="17444"/>
                  <a:pt x="2514" y="17788"/>
                </a:cubicBezTo>
                <a:lnTo>
                  <a:pt x="3812" y="19086"/>
                </a:lnTo>
                <a:cubicBezTo>
                  <a:pt x="4155" y="19429"/>
                  <a:pt x="4717" y="19429"/>
                  <a:pt x="5060" y="19086"/>
                </a:cubicBezTo>
                <a:lnTo>
                  <a:pt x="5825" y="18321"/>
                </a:lnTo>
                <a:cubicBezTo>
                  <a:pt x="6168" y="17978"/>
                  <a:pt x="6800" y="17880"/>
                  <a:pt x="7230" y="18105"/>
                </a:cubicBezTo>
                <a:lnTo>
                  <a:pt x="8160" y="18487"/>
                </a:lnTo>
                <a:cubicBezTo>
                  <a:pt x="8622" y="18634"/>
                  <a:pt x="9000" y="19152"/>
                  <a:pt x="9000" y="19637"/>
                </a:cubicBezTo>
                <a:lnTo>
                  <a:pt x="9000" y="20719"/>
                </a:lnTo>
                <a:cubicBezTo>
                  <a:pt x="9000" y="21203"/>
                  <a:pt x="9396" y="21600"/>
                  <a:pt x="9881" y="21600"/>
                </a:cubicBezTo>
                <a:lnTo>
                  <a:pt x="11718" y="21600"/>
                </a:lnTo>
                <a:cubicBezTo>
                  <a:pt x="12203" y="21600"/>
                  <a:pt x="12600" y="21203"/>
                  <a:pt x="12600" y="20719"/>
                </a:cubicBezTo>
                <a:lnTo>
                  <a:pt x="12600" y="19637"/>
                </a:lnTo>
                <a:cubicBezTo>
                  <a:pt x="12600" y="19152"/>
                  <a:pt x="12978" y="18634"/>
                  <a:pt x="13439" y="18487"/>
                </a:cubicBezTo>
                <a:lnTo>
                  <a:pt x="14370" y="18105"/>
                </a:lnTo>
                <a:cubicBezTo>
                  <a:pt x="14800" y="17880"/>
                  <a:pt x="15432" y="17978"/>
                  <a:pt x="15775" y="18321"/>
                </a:cubicBezTo>
                <a:lnTo>
                  <a:pt x="16540" y="19086"/>
                </a:lnTo>
                <a:cubicBezTo>
                  <a:pt x="16883" y="19429"/>
                  <a:pt x="17444" y="19429"/>
                  <a:pt x="17787" y="19086"/>
                </a:cubicBezTo>
                <a:lnTo>
                  <a:pt x="19086" y="17788"/>
                </a:lnTo>
                <a:cubicBezTo>
                  <a:pt x="19429" y="17444"/>
                  <a:pt x="19429" y="16884"/>
                  <a:pt x="19086" y="16541"/>
                </a:cubicBezTo>
                <a:lnTo>
                  <a:pt x="18321" y="15776"/>
                </a:lnTo>
                <a:cubicBezTo>
                  <a:pt x="17978" y="15433"/>
                  <a:pt x="17881" y="14800"/>
                  <a:pt x="18105" y="14369"/>
                </a:cubicBezTo>
                <a:lnTo>
                  <a:pt x="18486" y="13440"/>
                </a:lnTo>
                <a:cubicBezTo>
                  <a:pt x="18634" y="12978"/>
                  <a:pt x="19152" y="12600"/>
                  <a:pt x="19637" y="12600"/>
                </a:cubicBezTo>
                <a:lnTo>
                  <a:pt x="20718" y="12600"/>
                </a:lnTo>
                <a:cubicBezTo>
                  <a:pt x="21203" y="12600"/>
                  <a:pt x="21600" y="12203"/>
                  <a:pt x="21600" y="11719"/>
                </a:cubicBezTo>
                <a:lnTo>
                  <a:pt x="21600" y="9882"/>
                </a:lnTo>
                <a:cubicBezTo>
                  <a:pt x="21600" y="9397"/>
                  <a:pt x="21203" y="9000"/>
                  <a:pt x="20718" y="9000"/>
                </a:cubicBezTo>
                <a:lnTo>
                  <a:pt x="19637" y="9000"/>
                </a:lnTo>
                <a:cubicBezTo>
                  <a:pt x="19152" y="9000"/>
                  <a:pt x="18634" y="8622"/>
                  <a:pt x="18486" y="8161"/>
                </a:cubicBezTo>
                <a:lnTo>
                  <a:pt x="18105" y="7230"/>
                </a:lnTo>
                <a:cubicBezTo>
                  <a:pt x="17881" y="6800"/>
                  <a:pt x="17978" y="6168"/>
                  <a:pt x="18321" y="5825"/>
                </a:cubicBezTo>
                <a:lnTo>
                  <a:pt x="19086" y="5059"/>
                </a:lnTo>
                <a:cubicBezTo>
                  <a:pt x="19429" y="4717"/>
                  <a:pt x="19429" y="4156"/>
                  <a:pt x="19086" y="3812"/>
                </a:cubicBezTo>
                <a:lnTo>
                  <a:pt x="17787" y="2514"/>
                </a:lnTo>
                <a:cubicBezTo>
                  <a:pt x="17444" y="2171"/>
                  <a:pt x="16883" y="2171"/>
                  <a:pt x="16540" y="2514"/>
                </a:cubicBezTo>
                <a:lnTo>
                  <a:pt x="15775" y="3279"/>
                </a:lnTo>
                <a:cubicBezTo>
                  <a:pt x="15432" y="3622"/>
                  <a:pt x="14800" y="3719"/>
                  <a:pt x="14370" y="3495"/>
                </a:cubicBezTo>
                <a:lnTo>
                  <a:pt x="13439" y="3113"/>
                </a:lnTo>
                <a:cubicBezTo>
                  <a:pt x="12978" y="2965"/>
                  <a:pt x="12600" y="2448"/>
                  <a:pt x="12600" y="1963"/>
                </a:cubicBezTo>
                <a:lnTo>
                  <a:pt x="12600" y="882"/>
                </a:lnTo>
                <a:cubicBezTo>
                  <a:pt x="12600" y="396"/>
                  <a:pt x="12203" y="0"/>
                  <a:pt x="11718" y="0"/>
                </a:cubicBezTo>
                <a:lnTo>
                  <a:pt x="9881" y="0"/>
                </a:lnTo>
                <a:cubicBezTo>
                  <a:pt x="9396" y="0"/>
                  <a:pt x="9000" y="396"/>
                  <a:pt x="9000" y="882"/>
                </a:cubicBezTo>
                <a:lnTo>
                  <a:pt x="9000" y="1963"/>
                </a:lnTo>
                <a:cubicBezTo>
                  <a:pt x="9000" y="2448"/>
                  <a:pt x="8622" y="2965"/>
                  <a:pt x="8160" y="3113"/>
                </a:cubicBezTo>
                <a:lnTo>
                  <a:pt x="7230" y="3495"/>
                </a:lnTo>
                <a:cubicBezTo>
                  <a:pt x="6800" y="3719"/>
                  <a:pt x="6168" y="3622"/>
                  <a:pt x="5825" y="3279"/>
                </a:cubicBezTo>
                <a:lnTo>
                  <a:pt x="5060" y="2514"/>
                </a:lnTo>
                <a:cubicBezTo>
                  <a:pt x="4717" y="2171"/>
                  <a:pt x="4155" y="2171"/>
                  <a:pt x="3812" y="2514"/>
                </a:cubicBezTo>
                <a:lnTo>
                  <a:pt x="2514" y="3812"/>
                </a:lnTo>
                <a:cubicBezTo>
                  <a:pt x="2171" y="4156"/>
                  <a:pt x="2171" y="4717"/>
                  <a:pt x="2514" y="5059"/>
                </a:cubicBezTo>
                <a:lnTo>
                  <a:pt x="3279" y="5825"/>
                </a:lnTo>
                <a:cubicBezTo>
                  <a:pt x="3622" y="6168"/>
                  <a:pt x="3719" y="6800"/>
                  <a:pt x="3495" y="7230"/>
                </a:cubicBezTo>
                <a:lnTo>
                  <a:pt x="3113" y="8161"/>
                </a:lnTo>
                <a:cubicBezTo>
                  <a:pt x="2965" y="8622"/>
                  <a:pt x="2448" y="9000"/>
                  <a:pt x="1963" y="9000"/>
                </a:cubicBezTo>
                <a:lnTo>
                  <a:pt x="882" y="9000"/>
                </a:lnTo>
                <a:cubicBezTo>
                  <a:pt x="397" y="9000"/>
                  <a:pt x="0" y="9397"/>
                  <a:pt x="0" y="9882"/>
                </a:cubicBezTo>
                <a:close/>
              </a:path>
            </a:pathLst>
          </a:custGeom>
          <a:solidFill>
            <a:srgbClr val="2C3E50"/>
          </a:solidFill>
          <a:ln w="12700" cap="flat">
            <a:noFill/>
            <a:miter lim="400000"/>
          </a:ln>
          <a:effectLst/>
        </xdr:spPr>
        <xdr:txBody>
          <a:bodyPr wrap="square" lIns="28575" tIns="28575" rIns="28575" bIns="28575" numCol="1" anchor="ctr">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171416" eaLnBrk="1" fontAlgn="auto" latinLnBrk="0" hangingPunct="1">
              <a:lnSpc>
                <a:spcPct val="100000"/>
              </a:lnSpc>
              <a:spcBef>
                <a:spcPts val="0"/>
              </a:spcBef>
              <a:spcAft>
                <a:spcPts val="0"/>
              </a:spcAft>
              <a:buClrTx/>
              <a:buSzTx/>
              <a:buFontTx/>
              <a:buNone/>
              <a:tabLst/>
              <a:defRPr sz="3000">
                <a:solidFill>
                  <a:srgbClr val="FFFFFF"/>
                </a:solidFill>
                <a:effectLst>
                  <a:outerShdw blurRad="38100" dist="12700" dir="5400000" rotWithShape="0">
                    <a:srgbClr val="000000">
                      <a:alpha val="50000"/>
                    </a:srgbClr>
                  </a:outerShdw>
                </a:effectLst>
                <a:latin typeface="Source Sans Pro Light"/>
                <a:ea typeface="Source Sans Pro Light"/>
                <a:cs typeface="Source Sans Pro Light"/>
                <a:sym typeface="Source Sans Pro Light"/>
              </a:defRPr>
            </a:pPr>
            <a:endParaRPr kumimoji="0" lang="fr-FR" sz="1000" b="0" i="0" u="none" strike="noStrike" kern="0" cap="none" spc="0" normalizeH="0" baseline="0">
              <a:ln>
                <a:noFill/>
              </a:ln>
              <a:solidFill>
                <a:schemeClr val="tx1"/>
              </a:solidFill>
              <a:effectLst>
                <a:outerShdw blurRad="38100" dist="12700" dir="5400000" rotWithShape="0">
                  <a:srgbClr val="000000">
                    <a:alpha val="50000"/>
                  </a:srgbClr>
                </a:outerShdw>
              </a:effectLst>
              <a:uLnTx/>
              <a:uFillTx/>
              <a:latin typeface="Source Sans Pro Light"/>
              <a:ea typeface="Source Sans Pro Light"/>
              <a:cs typeface="Source Sans Pro Light"/>
              <a:sym typeface="Source Sans Pro Light"/>
            </a:endParaRPr>
          </a:p>
        </xdr:txBody>
      </xdr:sp>
      <xdr:sp macro="" textlink="">
        <xdr:nvSpPr>
          <xdr:cNvPr id="5" name="Rectangle 4">
            <a:extLst>
              <a:ext uri="{FF2B5EF4-FFF2-40B4-BE49-F238E27FC236}">
                <a16:creationId xmlns:a16="http://schemas.microsoft.com/office/drawing/2014/main" id="{DF00BCAB-E0C1-899C-4A5A-D6C3CB2509D6}"/>
              </a:ext>
            </a:extLst>
          </xdr:cNvPr>
          <xdr:cNvSpPr/>
        </xdr:nvSpPr>
        <xdr:spPr>
          <a:xfrm>
            <a:off x="5138579" y="1658107"/>
            <a:ext cx="2085797" cy="626972"/>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Identifier</a:t>
            </a:r>
            <a:r>
              <a:rPr kumimoji="0" lang="fr-FR" sz="1000" b="1" i="0" u="none" strike="noStrike" kern="0" cap="none" spc="0" normalizeH="0">
                <a:ln>
                  <a:noFill/>
                </a:ln>
                <a:solidFill>
                  <a:schemeClr val="tx1"/>
                </a:solidFill>
                <a:effectLst/>
                <a:uLnTx/>
                <a:uFillTx/>
              </a:rPr>
              <a:t> les risques</a:t>
            </a:r>
            <a:endParaRPr kumimoji="0" lang="fr-FR" sz="1000" b="1" i="0" u="none" strike="noStrike" kern="0" cap="none" spc="0" normalizeH="0" baseline="0">
              <a:ln>
                <a:noFill/>
              </a:ln>
              <a:solidFill>
                <a:schemeClr val="tx1"/>
              </a:solidFill>
              <a:effectLst/>
              <a:uLnTx/>
              <a:uFillTx/>
            </a:endParaRPr>
          </a:p>
        </xdr:txBody>
      </xdr:sp>
      <xdr:sp macro="" textlink="">
        <xdr:nvSpPr>
          <xdr:cNvPr id="6" name="Rectangle 5">
            <a:extLst>
              <a:ext uri="{FF2B5EF4-FFF2-40B4-BE49-F238E27FC236}">
                <a16:creationId xmlns:a16="http://schemas.microsoft.com/office/drawing/2014/main" id="{F9915BE1-844E-8CA1-616C-F2FD49230918}"/>
              </a:ext>
            </a:extLst>
          </xdr:cNvPr>
          <xdr:cNvSpPr/>
        </xdr:nvSpPr>
        <xdr:spPr>
          <a:xfrm>
            <a:off x="1675562" y="3580708"/>
            <a:ext cx="2814388" cy="870811"/>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Réévaluer les risques </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suite aux actions réalisées (AMDEC)</a:t>
            </a:r>
          </a:p>
        </xdr:txBody>
      </xdr:sp>
      <xdr:sp macro="" textlink="">
        <xdr:nvSpPr>
          <xdr:cNvPr id="7" name="Rectangle 6">
            <a:extLst>
              <a:ext uri="{FF2B5EF4-FFF2-40B4-BE49-F238E27FC236}">
                <a16:creationId xmlns:a16="http://schemas.microsoft.com/office/drawing/2014/main" id="{D6BE6805-E0BB-918A-CC2F-71CCDD0D76A7}"/>
              </a:ext>
            </a:extLst>
          </xdr:cNvPr>
          <xdr:cNvSpPr/>
        </xdr:nvSpPr>
        <xdr:spPr>
          <a:xfrm>
            <a:off x="3044805" y="5560356"/>
            <a:ext cx="2097039" cy="388224"/>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Suivre les actions</a:t>
            </a:r>
          </a:p>
        </xdr:txBody>
      </xdr:sp>
      <xdr:sp macro="" textlink="">
        <xdr:nvSpPr>
          <xdr:cNvPr id="8" name="Rectangle 7">
            <a:extLst>
              <a:ext uri="{FF2B5EF4-FFF2-40B4-BE49-F238E27FC236}">
                <a16:creationId xmlns:a16="http://schemas.microsoft.com/office/drawing/2014/main" id="{F06816E2-219C-8CCC-F45B-8A7070795D6D}"/>
              </a:ext>
            </a:extLst>
          </xdr:cNvPr>
          <xdr:cNvSpPr/>
        </xdr:nvSpPr>
        <xdr:spPr>
          <a:xfrm>
            <a:off x="7252897" y="5510197"/>
            <a:ext cx="2945119" cy="626973"/>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Mettre en œuvre les actions pour réduire les risques</a:t>
            </a:r>
          </a:p>
        </xdr:txBody>
      </xdr:sp>
      <xdr:sp macro="" textlink="">
        <xdr:nvSpPr>
          <xdr:cNvPr id="9" name="Rectangle 8">
            <a:extLst>
              <a:ext uri="{FF2B5EF4-FFF2-40B4-BE49-F238E27FC236}">
                <a16:creationId xmlns:a16="http://schemas.microsoft.com/office/drawing/2014/main" id="{97CBDE08-86F0-0F67-7D26-0715A14CF735}"/>
              </a:ext>
            </a:extLst>
          </xdr:cNvPr>
          <xdr:cNvSpPr/>
        </xdr:nvSpPr>
        <xdr:spPr>
          <a:xfrm>
            <a:off x="7816504" y="3838221"/>
            <a:ext cx="2139891" cy="388224"/>
          </a:xfrm>
          <a:prstGeom prst="rect">
            <a:avLst/>
          </a:prstGeom>
          <a:noFill/>
        </xdr:spPr>
        <xdr:txBody>
          <a:bodyPr wrap="square" anchor="ctr">
            <a:sp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1pPr>
            <a:lvl2pPr marR="0" lvl="1"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2pPr>
            <a:lvl3pPr marR="0" lvl="2"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3pPr>
            <a:lvl4pPr marR="0" lvl="3"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4pPr>
            <a:lvl5pPr marR="0" lvl="4"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5pPr>
            <a:lvl6pPr marR="0" lvl="5"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6pPr>
            <a:lvl7pPr marR="0" lvl="6"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7pPr>
            <a:lvl8pPr marR="0" lvl="7"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8pPr>
            <a:lvl9pPr marR="0" lvl="8" algn="l" rtl="0">
              <a:lnSpc>
                <a:spcPct val="100000"/>
              </a:lnSpc>
              <a:spcBef>
                <a:spcPts val="0"/>
              </a:spcBef>
              <a:spcAft>
                <a:spcPts val="0"/>
              </a:spcAft>
              <a:buClr>
                <a:srgbClr val="000000"/>
              </a:buClr>
              <a:buFont typeface="Arial"/>
              <a:defRPr sz="1400" b="0" i="0" u="none" strike="noStrike" cap="none">
                <a:solidFill>
                  <a:srgbClr val="000000"/>
                </a:solidFill>
                <a:latin typeface="Arial"/>
                <a:ea typeface="Arial"/>
                <a:cs typeface="Arial"/>
                <a:sym typeface="Arial"/>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000" b="1" i="0" u="none" strike="noStrike" kern="0" cap="none" spc="0" normalizeH="0" baseline="0">
                <a:ln>
                  <a:noFill/>
                </a:ln>
                <a:solidFill>
                  <a:schemeClr val="tx1"/>
                </a:solidFill>
                <a:effectLst/>
                <a:uLnTx/>
                <a:uFillTx/>
              </a:rPr>
              <a:t>Evaluer les risques</a:t>
            </a:r>
          </a:p>
        </xdr:txBody>
      </xdr:sp>
    </xdr:grpSp>
    <xdr:clientData/>
  </xdr:twoCellAnchor>
  <xdr:twoCellAnchor>
    <xdr:from>
      <xdr:col>2</xdr:col>
      <xdr:colOff>721781</xdr:colOff>
      <xdr:row>48</xdr:row>
      <xdr:rowOff>142664</xdr:rowOff>
    </xdr:from>
    <xdr:to>
      <xdr:col>8</xdr:col>
      <xdr:colOff>137355</xdr:colOff>
      <xdr:row>54</xdr:row>
      <xdr:rowOff>117874</xdr:rowOff>
    </xdr:to>
    <xdr:grpSp>
      <xdr:nvGrpSpPr>
        <xdr:cNvPr id="10" name="Groupe 9">
          <a:extLst>
            <a:ext uri="{FF2B5EF4-FFF2-40B4-BE49-F238E27FC236}">
              <a16:creationId xmlns:a16="http://schemas.microsoft.com/office/drawing/2014/main" id="{1A52EF84-C65D-49C1-A1AA-0982E09B674E}"/>
            </a:ext>
          </a:extLst>
        </xdr:cNvPr>
        <xdr:cNvGrpSpPr/>
      </xdr:nvGrpSpPr>
      <xdr:grpSpPr>
        <a:xfrm>
          <a:off x="1083731" y="8886614"/>
          <a:ext cx="5073424" cy="1003910"/>
          <a:chOff x="1800118" y="3841071"/>
          <a:chExt cx="7956464" cy="2448112"/>
        </a:xfrm>
      </xdr:grpSpPr>
      <xdr:grpSp>
        <xdr:nvGrpSpPr>
          <xdr:cNvPr id="11" name="Groupe 10">
            <a:extLst>
              <a:ext uri="{FF2B5EF4-FFF2-40B4-BE49-F238E27FC236}">
                <a16:creationId xmlns:a16="http://schemas.microsoft.com/office/drawing/2014/main" id="{562E27E4-8548-017B-BACC-F641F0EE7ECF}"/>
              </a:ext>
            </a:extLst>
          </xdr:cNvPr>
          <xdr:cNvGrpSpPr/>
        </xdr:nvGrpSpPr>
        <xdr:grpSpPr>
          <a:xfrm>
            <a:off x="4200240" y="4345223"/>
            <a:ext cx="3108070" cy="1584001"/>
            <a:chOff x="47625" y="47624"/>
            <a:chExt cx="1440000" cy="1440000"/>
          </a:xfrm>
        </xdr:grpSpPr>
        <xdr:sp macro="" textlink="">
          <xdr:nvSpPr>
            <xdr:cNvPr id="16" name="Rectangle 15">
              <a:extLst>
                <a:ext uri="{FF2B5EF4-FFF2-40B4-BE49-F238E27FC236}">
                  <a16:creationId xmlns:a16="http://schemas.microsoft.com/office/drawing/2014/main" id="{2A19DF7A-E24B-A123-9A02-5DAF2EE99EC5}"/>
                </a:ext>
              </a:extLst>
            </xdr:cNvPr>
            <xdr:cNvSpPr/>
          </xdr:nvSpPr>
          <xdr:spPr>
            <a:xfrm>
              <a:off x="47920" y="47920"/>
              <a:ext cx="1439545" cy="1439545"/>
            </a:xfrm>
            <a:prstGeom prst="rect">
              <a:avLst/>
            </a:prstGeom>
            <a:gradFill flip="none" rotWithShape="1">
              <a:gsLst>
                <a:gs pos="0">
                  <a:schemeClr val="accent1">
                    <a:tint val="50000"/>
                    <a:satMod val="300000"/>
                  </a:schemeClr>
                </a:gs>
                <a:gs pos="35000">
                  <a:schemeClr val="accent1">
                    <a:tint val="37000"/>
                    <a:satMod val="300000"/>
                  </a:schemeClr>
                </a:gs>
                <a:gs pos="100000">
                  <a:schemeClr val="accent1">
                    <a:tint val="15000"/>
                    <a:satMod val="350000"/>
                  </a:schemeClr>
                </a:gs>
              </a:gsLst>
              <a:path path="circle">
                <a:fillToRect l="50000" t="50000" r="50000" b="50000"/>
              </a:path>
              <a:tileRect/>
            </a:gradFill>
            <a:ln>
              <a:noFill/>
            </a:ln>
            <a:effectLst/>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endParaRPr lang="fr-FR" sz="900"/>
            </a:p>
          </xdr:txBody>
        </xdr:sp>
        <xdr:cxnSp macro="">
          <xdr:nvCxnSpPr>
            <xdr:cNvPr id="17" name="Connecteur droit avec flèche 16">
              <a:extLst>
                <a:ext uri="{FF2B5EF4-FFF2-40B4-BE49-F238E27FC236}">
                  <a16:creationId xmlns:a16="http://schemas.microsoft.com/office/drawing/2014/main" id="{150076F1-3632-7459-3635-4948E0A4BEA3}"/>
                </a:ext>
              </a:extLst>
            </xdr:cNvPr>
            <xdr:cNvCxnSpPr/>
          </xdr:nvCxnSpPr>
          <xdr:spPr>
            <a:xfrm flipV="1">
              <a:off x="47625" y="47624"/>
              <a:ext cx="0" cy="1440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 name="Connecteur droit avec flèche 17">
              <a:extLst>
                <a:ext uri="{FF2B5EF4-FFF2-40B4-BE49-F238E27FC236}">
                  <a16:creationId xmlns:a16="http://schemas.microsoft.com/office/drawing/2014/main" id="{0F1901EC-AC06-0D40-25DE-6FAA3C901D8C}"/>
                </a:ext>
              </a:extLst>
            </xdr:cNvPr>
            <xdr:cNvCxnSpPr/>
          </xdr:nvCxnSpPr>
          <xdr:spPr>
            <a:xfrm>
              <a:off x="47625" y="1487170"/>
              <a:ext cx="14400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Ellipse 18">
              <a:extLst>
                <a:ext uri="{FF2B5EF4-FFF2-40B4-BE49-F238E27FC236}">
                  <a16:creationId xmlns:a16="http://schemas.microsoft.com/office/drawing/2014/main" id="{517A3A34-9722-EB74-8E24-FECEE81030A8}"/>
                </a:ext>
              </a:extLst>
            </xdr:cNvPr>
            <xdr:cNvSpPr/>
          </xdr:nvSpPr>
          <xdr:spPr>
            <a:xfrm>
              <a:off x="47625" y="47624"/>
              <a:ext cx="1440000" cy="1440000"/>
            </a:xfrm>
            <a:prstGeom prst="ellipse">
              <a:avLst/>
            </a:prstGeom>
            <a:solidFill>
              <a:schemeClr val="bg1">
                <a:lumMod val="85000"/>
              </a:schemeClr>
            </a:solidFill>
            <a:ln>
              <a:solidFill>
                <a:schemeClr val="bg1">
                  <a:lumMod val="65000"/>
                </a:schemeClr>
              </a:solidFill>
            </a:ln>
            <a:effectLst/>
          </xdr:spPr>
          <xdr:style>
            <a:lnRef idx="1">
              <a:schemeClr val="accent2"/>
            </a:lnRef>
            <a:fillRef idx="2">
              <a:schemeClr val="accent2"/>
            </a:fillRef>
            <a:effectRef idx="1">
              <a:schemeClr val="accent2"/>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algn="ctr">
                <a:lnSpc>
                  <a:spcPct val="110000"/>
                </a:lnSpc>
                <a:spcAft>
                  <a:spcPts val="0"/>
                </a:spcAft>
              </a:pPr>
              <a:r>
                <a:rPr lang="fr-FR" sz="600">
                  <a:solidFill>
                    <a:srgbClr val="000000"/>
                  </a:solidFill>
                  <a:effectLst/>
                  <a:ea typeface="Calibri" panose="020F0502020204030204" pitchFamily="34" charset="0"/>
                  <a:cs typeface="Times New Roman" panose="02020603050405020304" pitchFamily="18" charset="0"/>
                </a:rPr>
                <a:t>Zone de risques</a:t>
              </a:r>
            </a:p>
          </xdr:txBody>
        </xdr:sp>
      </xdr:grpSp>
      <xdr:sp macro="" textlink="">
        <xdr:nvSpPr>
          <xdr:cNvPr id="12" name="Légende à une bordure 1 15">
            <a:extLst>
              <a:ext uri="{FF2B5EF4-FFF2-40B4-BE49-F238E27FC236}">
                <a16:creationId xmlns:a16="http://schemas.microsoft.com/office/drawing/2014/main" id="{BB90F0FE-2043-0112-0EE5-D1E1D960BB52}"/>
              </a:ext>
            </a:extLst>
          </xdr:cNvPr>
          <xdr:cNvSpPr/>
        </xdr:nvSpPr>
        <xdr:spPr>
          <a:xfrm flipH="1">
            <a:off x="1800118" y="3841071"/>
            <a:ext cx="1980000" cy="720000"/>
          </a:xfrm>
          <a:prstGeom prst="accentCallout1">
            <a:avLst/>
          </a:prstGeom>
          <a:ln/>
        </xdr:spPr>
        <xdr:style>
          <a:lnRef idx="2">
            <a:schemeClr val="accent1"/>
          </a:lnRef>
          <a:fillRef idx="1">
            <a:schemeClr val="lt1"/>
          </a:fillRef>
          <a:effectRef idx="0">
            <a:schemeClr val="accent1"/>
          </a:effectRef>
          <a:fontRef idx="minor">
            <a:schemeClr val="dk1"/>
          </a:fontRef>
        </xdr:style>
        <xdr:txBody>
          <a:bodyPr wrap="square" lIns="36000" tIns="36000" rIns="36000" bIns="36000"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marL="0" lvl="1" algn="r" defTabSz="540000">
              <a:buClr>
                <a:srgbClr val="7030A0"/>
              </a:buClr>
            </a:pPr>
            <a:r>
              <a:rPr lang="fr-FR" sz="700" b="1">
                <a:solidFill>
                  <a:srgbClr val="000000"/>
                </a:solidFill>
              </a:rPr>
              <a:t>Les risques de fréquence élevée ne se gèrent pas</a:t>
            </a:r>
            <a:r>
              <a:rPr lang="fr-FR" sz="700" b="1"/>
              <a:t>.</a:t>
            </a:r>
            <a:br>
              <a:rPr lang="fr-FR" sz="700" i="1"/>
            </a:br>
            <a:r>
              <a:rPr lang="fr-FR" sz="700" i="1">
                <a:solidFill>
                  <a:srgbClr val="002060"/>
                </a:solidFill>
              </a:rPr>
              <a:t>Ce sont des problèmes qui doivent être résolus </a:t>
            </a:r>
          </a:p>
        </xdr:txBody>
      </xdr:sp>
      <xdr:sp macro="" textlink="">
        <xdr:nvSpPr>
          <xdr:cNvPr id="13" name="Légende à une bordure 1 16">
            <a:extLst>
              <a:ext uri="{FF2B5EF4-FFF2-40B4-BE49-F238E27FC236}">
                <a16:creationId xmlns:a16="http://schemas.microsoft.com/office/drawing/2014/main" id="{FD3531F6-0C0C-6FBD-4D7A-E592C64B6305}"/>
              </a:ext>
            </a:extLst>
          </xdr:cNvPr>
          <xdr:cNvSpPr/>
        </xdr:nvSpPr>
        <xdr:spPr>
          <a:xfrm flipH="1">
            <a:off x="1800118" y="5569183"/>
            <a:ext cx="1980000" cy="720000"/>
          </a:xfrm>
          <a:prstGeom prst="accentCallout1">
            <a:avLst>
              <a:gd name="adj1" fmla="val 77604"/>
              <a:gd name="adj2" fmla="val -8333"/>
              <a:gd name="adj3" fmla="val -5207"/>
              <a:gd name="adj4" fmla="val -32138"/>
            </a:avLst>
          </a:prstGeom>
          <a:ln/>
        </xdr:spPr>
        <xdr:style>
          <a:lnRef idx="2">
            <a:schemeClr val="accent1"/>
          </a:lnRef>
          <a:fillRef idx="1">
            <a:schemeClr val="lt1"/>
          </a:fillRef>
          <a:effectRef idx="0">
            <a:schemeClr val="accent1"/>
          </a:effectRef>
          <a:fontRef idx="minor">
            <a:schemeClr val="dk1"/>
          </a:fontRef>
        </xdr:style>
        <xdr:txBody>
          <a:bodyPr wrap="square" lIns="36000" tIns="36000" rIns="36000" bIns="36000"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marL="0" lvl="1" algn="r" defTabSz="540000">
              <a:buClr>
                <a:srgbClr val="7030A0"/>
              </a:buClr>
            </a:pPr>
            <a:r>
              <a:rPr lang="fr-FR" sz="700" b="1">
                <a:solidFill>
                  <a:srgbClr val="000000"/>
                </a:solidFill>
              </a:rPr>
              <a:t>Les risques négligeables ne se gèrent pas</a:t>
            </a:r>
          </a:p>
          <a:p>
            <a:pPr marL="0" lvl="1" algn="r" defTabSz="540000">
              <a:buClr>
                <a:srgbClr val="7030A0"/>
              </a:buClr>
            </a:pPr>
            <a:r>
              <a:rPr lang="fr-FR" sz="700" i="1">
                <a:solidFill>
                  <a:srgbClr val="002060"/>
                </a:solidFill>
              </a:rPr>
              <a:t>On les ignore</a:t>
            </a:r>
          </a:p>
        </xdr:txBody>
      </xdr:sp>
      <xdr:sp macro="" textlink="">
        <xdr:nvSpPr>
          <xdr:cNvPr id="14" name="Légende à une bordure 1 17">
            <a:extLst>
              <a:ext uri="{FF2B5EF4-FFF2-40B4-BE49-F238E27FC236}">
                <a16:creationId xmlns:a16="http://schemas.microsoft.com/office/drawing/2014/main" id="{8E2A5692-3C47-55A9-3702-52B8C80D0A13}"/>
              </a:ext>
            </a:extLst>
          </xdr:cNvPr>
          <xdr:cNvSpPr/>
        </xdr:nvSpPr>
        <xdr:spPr>
          <a:xfrm>
            <a:off x="7776582" y="3841071"/>
            <a:ext cx="1980000" cy="720000"/>
          </a:xfrm>
          <a:prstGeom prst="accentCallout1">
            <a:avLst/>
          </a:prstGeom>
          <a:ln/>
        </xdr:spPr>
        <xdr:style>
          <a:lnRef idx="2">
            <a:schemeClr val="accent1"/>
          </a:lnRef>
          <a:fillRef idx="1">
            <a:schemeClr val="lt1"/>
          </a:fillRef>
          <a:effectRef idx="0">
            <a:schemeClr val="accent1"/>
          </a:effectRef>
          <a:fontRef idx="minor">
            <a:schemeClr val="dk1"/>
          </a:fontRef>
        </xdr:style>
        <xdr:txBody>
          <a:bodyPr wrap="square" lIns="36000" tIns="36000" rIns="36000" bIns="36000"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marL="0" lvl="1" defTabSz="540000">
              <a:buClr>
                <a:srgbClr val="7030A0"/>
              </a:buClr>
            </a:pPr>
            <a:r>
              <a:rPr lang="fr-FR" sz="700" b="1">
                <a:solidFill>
                  <a:srgbClr val="000000"/>
                </a:solidFill>
              </a:rPr>
              <a:t>Les risques intolérables ne se gèrent pas.</a:t>
            </a:r>
          </a:p>
          <a:p>
            <a:pPr marL="0" lvl="1" defTabSz="540000">
              <a:buClr>
                <a:srgbClr val="7030A0"/>
              </a:buClr>
            </a:pPr>
            <a:r>
              <a:rPr lang="fr-FR" sz="700" i="1">
                <a:solidFill>
                  <a:srgbClr val="002060"/>
                </a:solidFill>
              </a:rPr>
              <a:t>Il faut changer de projet</a:t>
            </a:r>
          </a:p>
        </xdr:txBody>
      </xdr:sp>
      <xdr:sp macro="" textlink="">
        <xdr:nvSpPr>
          <xdr:cNvPr id="15" name="Légende à une bordure 1 18">
            <a:extLst>
              <a:ext uri="{FF2B5EF4-FFF2-40B4-BE49-F238E27FC236}">
                <a16:creationId xmlns:a16="http://schemas.microsoft.com/office/drawing/2014/main" id="{8649EE28-C513-95C3-3C4E-09432A92CFFE}"/>
              </a:ext>
            </a:extLst>
          </xdr:cNvPr>
          <xdr:cNvSpPr/>
        </xdr:nvSpPr>
        <xdr:spPr>
          <a:xfrm>
            <a:off x="7776582" y="5569183"/>
            <a:ext cx="1980000" cy="720000"/>
          </a:xfrm>
          <a:prstGeom prst="accentCallout1">
            <a:avLst>
              <a:gd name="adj1" fmla="val 77604"/>
              <a:gd name="adj2" fmla="val -8333"/>
              <a:gd name="adj3" fmla="val -5207"/>
              <a:gd name="adj4" fmla="val -32138"/>
            </a:avLst>
          </a:prstGeom>
          <a:ln/>
        </xdr:spPr>
        <xdr:style>
          <a:lnRef idx="2">
            <a:schemeClr val="accent1"/>
          </a:lnRef>
          <a:fillRef idx="1">
            <a:schemeClr val="lt1"/>
          </a:fillRef>
          <a:effectRef idx="0">
            <a:schemeClr val="accent1"/>
          </a:effectRef>
          <a:fontRef idx="minor">
            <a:schemeClr val="dk1"/>
          </a:fontRef>
        </xdr:style>
        <xdr:txBody>
          <a:bodyPr wrap="square" lIns="36000" tIns="36000" rIns="36000" bIns="36000"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dk1"/>
                </a:solidFill>
                <a:latin typeface="+mn-lt"/>
                <a:ea typeface="+mn-ea"/>
                <a:cs typeface="+mn-cs"/>
                <a:sym typeface="Arial"/>
              </a:defRPr>
            </a:lvl9pPr>
          </a:lstStyle>
          <a:p>
            <a:pPr marL="0" lvl="1" defTabSz="540000">
              <a:buClr>
                <a:srgbClr val="7030A0"/>
              </a:buClr>
            </a:pPr>
            <a:r>
              <a:rPr lang="fr-FR" sz="700" b="1">
                <a:solidFill>
                  <a:srgbClr val="000000"/>
                </a:solidFill>
              </a:rPr>
              <a:t>Les risques de gravité ne se gèrent pas. </a:t>
            </a:r>
          </a:p>
          <a:p>
            <a:pPr marL="0" lvl="1" defTabSz="540000">
              <a:buClr>
                <a:srgbClr val="7030A0"/>
              </a:buClr>
            </a:pPr>
            <a:r>
              <a:rPr lang="fr-FR" sz="700" i="1">
                <a:solidFill>
                  <a:srgbClr val="002060"/>
                </a:solidFill>
              </a:rPr>
              <a:t>Il faut vivre avec </a:t>
            </a:r>
          </a:p>
        </xdr:txBody>
      </xdr:sp>
    </xdr:grpSp>
    <xdr:clientData/>
  </xdr:twoCellAnchor>
  <xdr:twoCellAnchor>
    <xdr:from>
      <xdr:col>3</xdr:col>
      <xdr:colOff>218993</xdr:colOff>
      <xdr:row>60</xdr:row>
      <xdr:rowOff>148449</xdr:rowOff>
    </xdr:from>
    <xdr:to>
      <xdr:col>8</xdr:col>
      <xdr:colOff>30536</xdr:colOff>
      <xdr:row>64</xdr:row>
      <xdr:rowOff>3678</xdr:rowOff>
    </xdr:to>
    <xdr:grpSp>
      <xdr:nvGrpSpPr>
        <xdr:cNvPr id="20" name="Groupe 19">
          <a:extLst>
            <a:ext uri="{FF2B5EF4-FFF2-40B4-BE49-F238E27FC236}">
              <a16:creationId xmlns:a16="http://schemas.microsoft.com/office/drawing/2014/main" id="{7883FCD0-2657-4C2A-84CD-959B175B0202}"/>
            </a:ext>
          </a:extLst>
        </xdr:cNvPr>
        <xdr:cNvGrpSpPr/>
      </xdr:nvGrpSpPr>
      <xdr:grpSpPr>
        <a:xfrm>
          <a:off x="1523918" y="10949799"/>
          <a:ext cx="4526418" cy="541029"/>
          <a:chOff x="1291734" y="2314363"/>
          <a:chExt cx="8819348" cy="936000"/>
        </a:xfrm>
      </xdr:grpSpPr>
      <xdr:sp macro="" textlink="">
        <xdr:nvSpPr>
          <xdr:cNvPr id="21" name="Rectangle à coins arrondis 27">
            <a:extLst>
              <a:ext uri="{FF2B5EF4-FFF2-40B4-BE49-F238E27FC236}">
                <a16:creationId xmlns:a16="http://schemas.microsoft.com/office/drawing/2014/main" id="{A4949EDC-EAE0-1E49-E7D5-310D2FC93457}"/>
              </a:ext>
            </a:extLst>
          </xdr:cNvPr>
          <xdr:cNvSpPr/>
        </xdr:nvSpPr>
        <xdr:spPr>
          <a:xfrm rot="10800000" flipV="1">
            <a:off x="1291734" y="2472500"/>
            <a:ext cx="2186117" cy="619725"/>
          </a:xfrm>
          <a:prstGeom prst="roundRect">
            <a:avLst/>
          </a:prstGeom>
          <a:solidFill>
            <a:srgbClr val="F39C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rgbClr val="000000"/>
                </a:solidFill>
              </a:rPr>
              <a:t>Définir votre </a:t>
            </a:r>
          </a:p>
          <a:p>
            <a:pPr algn="ctr"/>
            <a:r>
              <a:rPr lang="fr-FR" sz="900">
                <a:solidFill>
                  <a:srgbClr val="000000"/>
                </a:solidFill>
              </a:rPr>
              <a:t>plan d’actions</a:t>
            </a:r>
          </a:p>
        </xdr:txBody>
      </xdr:sp>
      <xdr:sp macro="" textlink="">
        <xdr:nvSpPr>
          <xdr:cNvPr id="22" name="Légende à une bordure 1 28">
            <a:extLst>
              <a:ext uri="{FF2B5EF4-FFF2-40B4-BE49-F238E27FC236}">
                <a16:creationId xmlns:a16="http://schemas.microsoft.com/office/drawing/2014/main" id="{990FFD98-CF19-023C-FE51-6119F7F47710}"/>
              </a:ext>
            </a:extLst>
          </xdr:cNvPr>
          <xdr:cNvSpPr/>
        </xdr:nvSpPr>
        <xdr:spPr>
          <a:xfrm>
            <a:off x="4603082" y="2314363"/>
            <a:ext cx="5508000" cy="936000"/>
          </a:xfrm>
          <a:prstGeom prst="accentCallout1">
            <a:avLst>
              <a:gd name="adj1" fmla="val 49829"/>
              <a:gd name="adj2" fmla="val -6771"/>
              <a:gd name="adj3" fmla="val 50027"/>
              <a:gd name="adj4" fmla="val -18419"/>
            </a:avLst>
          </a:prstGeom>
          <a:solidFill>
            <a:srgbClr val="F9CE87"/>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800">
                <a:solidFill>
                  <a:srgbClr val="000000"/>
                </a:solidFill>
              </a:rPr>
              <a:t>Définir une ou des actions pour chaque risque situé au-dessus du seuil</a:t>
            </a:r>
          </a:p>
          <a:p>
            <a:pPr marL="180000" indent="-180000">
              <a:buFont typeface="Arial" panose="020B0604020202020204" pitchFamily="34" charset="0"/>
              <a:buChar char="•"/>
            </a:pPr>
            <a:r>
              <a:rPr lang="fr-FR" sz="800">
                <a:solidFill>
                  <a:srgbClr val="000000"/>
                </a:solidFill>
              </a:rPr>
              <a:t>Nommer un responsable de l’action</a:t>
            </a:r>
          </a:p>
          <a:p>
            <a:pPr marL="180000" indent="-180000">
              <a:buFont typeface="Arial" panose="020B0604020202020204" pitchFamily="34" charset="0"/>
              <a:buChar char="•"/>
            </a:pPr>
            <a:r>
              <a:rPr lang="fr-FR" sz="800">
                <a:solidFill>
                  <a:srgbClr val="000000"/>
                </a:solidFill>
              </a:rPr>
              <a:t>Déterminer le délai de réalisation</a:t>
            </a:r>
          </a:p>
        </xdr:txBody>
      </xdr:sp>
    </xdr:grpSp>
    <xdr:clientData/>
  </xdr:twoCellAnchor>
  <xdr:twoCellAnchor>
    <xdr:from>
      <xdr:col>3</xdr:col>
      <xdr:colOff>190500</xdr:colOff>
      <xdr:row>57</xdr:row>
      <xdr:rowOff>80857</xdr:rowOff>
    </xdr:from>
    <xdr:to>
      <xdr:col>8</xdr:col>
      <xdr:colOff>6491</xdr:colOff>
      <xdr:row>60</xdr:row>
      <xdr:rowOff>74500</xdr:rowOff>
    </xdr:to>
    <xdr:grpSp>
      <xdr:nvGrpSpPr>
        <xdr:cNvPr id="23" name="Groupe 22">
          <a:extLst>
            <a:ext uri="{FF2B5EF4-FFF2-40B4-BE49-F238E27FC236}">
              <a16:creationId xmlns:a16="http://schemas.microsoft.com/office/drawing/2014/main" id="{02F2A9E3-660E-43CC-A5E2-8F5BDBC7322B}"/>
            </a:ext>
          </a:extLst>
        </xdr:cNvPr>
        <xdr:cNvGrpSpPr/>
      </xdr:nvGrpSpPr>
      <xdr:grpSpPr>
        <a:xfrm>
          <a:off x="1495425" y="10367857"/>
          <a:ext cx="4530866" cy="507993"/>
          <a:chOff x="1266999" y="2314363"/>
          <a:chExt cx="8844083" cy="900000"/>
        </a:xfrm>
      </xdr:grpSpPr>
      <xdr:sp macro="" textlink="">
        <xdr:nvSpPr>
          <xdr:cNvPr id="24" name="Rectangle à coins arrondis 30">
            <a:extLst>
              <a:ext uri="{FF2B5EF4-FFF2-40B4-BE49-F238E27FC236}">
                <a16:creationId xmlns:a16="http://schemas.microsoft.com/office/drawing/2014/main" id="{7F591456-9DA0-1359-BA70-287B8F5DB971}"/>
              </a:ext>
            </a:extLst>
          </xdr:cNvPr>
          <xdr:cNvSpPr/>
        </xdr:nvSpPr>
        <xdr:spPr>
          <a:xfrm rot="10800000" flipV="1">
            <a:off x="1266999" y="2454500"/>
            <a:ext cx="2186117" cy="619725"/>
          </a:xfrm>
          <a:prstGeom prst="roundRect">
            <a:avLst/>
          </a:prstGeom>
          <a:solidFill>
            <a:srgbClr val="F39C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rgbClr val="000000"/>
                </a:solidFill>
              </a:rPr>
              <a:t>Analyser vos risques</a:t>
            </a:r>
          </a:p>
        </xdr:txBody>
      </xdr:sp>
      <xdr:sp macro="" textlink="">
        <xdr:nvSpPr>
          <xdr:cNvPr id="25" name="Légende à une bordure 1 31">
            <a:extLst>
              <a:ext uri="{FF2B5EF4-FFF2-40B4-BE49-F238E27FC236}">
                <a16:creationId xmlns:a16="http://schemas.microsoft.com/office/drawing/2014/main" id="{80AC947A-9B9E-7952-C8B5-2CE6E67D4ABD}"/>
              </a:ext>
            </a:extLst>
          </xdr:cNvPr>
          <xdr:cNvSpPr/>
        </xdr:nvSpPr>
        <xdr:spPr>
          <a:xfrm>
            <a:off x="4603082" y="2314363"/>
            <a:ext cx="5508000" cy="900000"/>
          </a:xfrm>
          <a:prstGeom prst="accentCallout1">
            <a:avLst>
              <a:gd name="adj1" fmla="val 49829"/>
              <a:gd name="adj2" fmla="val -6771"/>
              <a:gd name="adj3" fmla="val 50027"/>
              <a:gd name="adj4" fmla="val -18419"/>
            </a:avLst>
          </a:prstGeom>
          <a:solidFill>
            <a:srgbClr val="F9CE87"/>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800">
                <a:solidFill>
                  <a:srgbClr val="000000"/>
                </a:solidFill>
              </a:rPr>
              <a:t>Remonter aux causes</a:t>
            </a:r>
          </a:p>
          <a:p>
            <a:pPr marL="180000" indent="-180000">
              <a:buFont typeface="Arial" panose="020B0604020202020204" pitchFamily="34" charset="0"/>
              <a:buChar char="•"/>
            </a:pPr>
            <a:r>
              <a:rPr lang="fr-FR" sz="800">
                <a:solidFill>
                  <a:srgbClr val="000000"/>
                </a:solidFill>
              </a:rPr>
              <a:t>Diagramme cause-effet</a:t>
            </a:r>
          </a:p>
          <a:p>
            <a:pPr marL="180000" indent="-180000">
              <a:buFont typeface="Arial" panose="020B0604020202020204" pitchFamily="34" charset="0"/>
              <a:buChar char="•"/>
            </a:pPr>
            <a:r>
              <a:rPr lang="fr-FR" sz="800">
                <a:solidFill>
                  <a:srgbClr val="000000"/>
                </a:solidFill>
              </a:rPr>
              <a:t>Arbre des causes</a:t>
            </a:r>
          </a:p>
        </xdr:txBody>
      </xdr:sp>
    </xdr:grpSp>
    <xdr:clientData/>
  </xdr:twoCellAnchor>
  <xdr:twoCellAnchor>
    <xdr:from>
      <xdr:col>3</xdr:col>
      <xdr:colOff>194146</xdr:colOff>
      <xdr:row>64</xdr:row>
      <xdr:rowOff>34996</xdr:rowOff>
    </xdr:from>
    <xdr:to>
      <xdr:col>8</xdr:col>
      <xdr:colOff>31260</xdr:colOff>
      <xdr:row>68</xdr:row>
      <xdr:rowOff>3245</xdr:rowOff>
    </xdr:to>
    <xdr:grpSp>
      <xdr:nvGrpSpPr>
        <xdr:cNvPr id="26" name="Groupe 25">
          <a:extLst>
            <a:ext uri="{FF2B5EF4-FFF2-40B4-BE49-F238E27FC236}">
              <a16:creationId xmlns:a16="http://schemas.microsoft.com/office/drawing/2014/main" id="{6FDA8631-8F1A-42EB-912A-723CC048043D}"/>
            </a:ext>
          </a:extLst>
        </xdr:cNvPr>
        <xdr:cNvGrpSpPr/>
      </xdr:nvGrpSpPr>
      <xdr:grpSpPr>
        <a:xfrm>
          <a:off x="1499071" y="11522146"/>
          <a:ext cx="4551989" cy="654049"/>
          <a:chOff x="1261953" y="2314363"/>
          <a:chExt cx="8849129" cy="936000"/>
        </a:xfrm>
      </xdr:grpSpPr>
      <xdr:sp macro="" textlink="">
        <xdr:nvSpPr>
          <xdr:cNvPr id="27" name="Rectangle à coins arrondis 33">
            <a:extLst>
              <a:ext uri="{FF2B5EF4-FFF2-40B4-BE49-F238E27FC236}">
                <a16:creationId xmlns:a16="http://schemas.microsoft.com/office/drawing/2014/main" id="{72EC3E38-57FE-22E5-3A89-7719E74D6244}"/>
              </a:ext>
            </a:extLst>
          </xdr:cNvPr>
          <xdr:cNvSpPr/>
        </xdr:nvSpPr>
        <xdr:spPr>
          <a:xfrm rot="10800000" flipV="1">
            <a:off x="1261953" y="2472500"/>
            <a:ext cx="2186117" cy="619725"/>
          </a:xfrm>
          <a:prstGeom prst="roundRect">
            <a:avLst/>
          </a:prstGeom>
          <a:solidFill>
            <a:srgbClr val="F39C1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rgbClr val="000000"/>
                </a:solidFill>
              </a:rPr>
              <a:t>Identifier </a:t>
            </a:r>
          </a:p>
          <a:p>
            <a:pPr algn="ctr"/>
            <a:r>
              <a:rPr lang="fr-FR" sz="900">
                <a:solidFill>
                  <a:srgbClr val="000000"/>
                </a:solidFill>
              </a:rPr>
              <a:t>les points critiques</a:t>
            </a:r>
          </a:p>
        </xdr:txBody>
      </xdr:sp>
      <xdr:sp macro="" textlink="">
        <xdr:nvSpPr>
          <xdr:cNvPr id="28" name="Légende à une bordure 1 34">
            <a:extLst>
              <a:ext uri="{FF2B5EF4-FFF2-40B4-BE49-F238E27FC236}">
                <a16:creationId xmlns:a16="http://schemas.microsoft.com/office/drawing/2014/main" id="{F4FC896D-252C-0A7A-522C-C51ED4ED2D1A}"/>
              </a:ext>
            </a:extLst>
          </xdr:cNvPr>
          <xdr:cNvSpPr/>
        </xdr:nvSpPr>
        <xdr:spPr>
          <a:xfrm>
            <a:off x="4603082" y="2314363"/>
            <a:ext cx="5508000" cy="936000"/>
          </a:xfrm>
          <a:prstGeom prst="accentCallout1">
            <a:avLst>
              <a:gd name="adj1" fmla="val 49829"/>
              <a:gd name="adj2" fmla="val -6771"/>
              <a:gd name="adj3" fmla="val 50027"/>
              <a:gd name="adj4" fmla="val -18419"/>
            </a:avLst>
          </a:prstGeom>
          <a:solidFill>
            <a:srgbClr val="F9CE87"/>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800">
                <a:solidFill>
                  <a:srgbClr val="000000"/>
                </a:solidFill>
              </a:rPr>
              <a:t>Lieux et/ou moment où la probabilité et/ou la gravité sont les plus importants, les instants du déroulement où il faudra redoubler de vigilance</a:t>
            </a:r>
          </a:p>
        </xdr:txBody>
      </xdr:sp>
    </xdr:grpSp>
    <xdr:clientData/>
  </xdr:twoCellAnchor>
  <xdr:twoCellAnchor>
    <xdr:from>
      <xdr:col>3</xdr:col>
      <xdr:colOff>411691</xdr:colOff>
      <xdr:row>74</xdr:row>
      <xdr:rowOff>33941</xdr:rowOff>
    </xdr:from>
    <xdr:to>
      <xdr:col>8</xdr:col>
      <xdr:colOff>138408</xdr:colOff>
      <xdr:row>77</xdr:row>
      <xdr:rowOff>3</xdr:rowOff>
    </xdr:to>
    <xdr:grpSp>
      <xdr:nvGrpSpPr>
        <xdr:cNvPr id="29" name="Groupe 28">
          <a:extLst>
            <a:ext uri="{FF2B5EF4-FFF2-40B4-BE49-F238E27FC236}">
              <a16:creationId xmlns:a16="http://schemas.microsoft.com/office/drawing/2014/main" id="{3C7A2A2C-F598-4B81-AA0E-D4309A757E84}"/>
            </a:ext>
          </a:extLst>
        </xdr:cNvPr>
        <xdr:cNvGrpSpPr/>
      </xdr:nvGrpSpPr>
      <xdr:grpSpPr>
        <a:xfrm>
          <a:off x="1716616" y="13235591"/>
          <a:ext cx="4441592" cy="480412"/>
          <a:chOff x="1714674" y="2314363"/>
          <a:chExt cx="8104624" cy="652464"/>
        </a:xfrm>
      </xdr:grpSpPr>
      <xdr:sp macro="" textlink="">
        <xdr:nvSpPr>
          <xdr:cNvPr id="30" name="Rectangle à coins arrondis 8">
            <a:extLst>
              <a:ext uri="{FF2B5EF4-FFF2-40B4-BE49-F238E27FC236}">
                <a16:creationId xmlns:a16="http://schemas.microsoft.com/office/drawing/2014/main" id="{4EDF18DF-DDCE-13BD-BD4D-5EF711D9FE58}"/>
              </a:ext>
            </a:extLst>
          </xdr:cNvPr>
          <xdr:cNvSpPr/>
        </xdr:nvSpPr>
        <xdr:spPr>
          <a:xfrm rot="10800000" flipV="1">
            <a:off x="1714674" y="2314363"/>
            <a:ext cx="2186117" cy="619725"/>
          </a:xfrm>
          <a:prstGeom prst="roundRect">
            <a:avLst/>
          </a:prstGeom>
          <a:solidFill>
            <a:srgbClr val="C0392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Le but du suivi </a:t>
            </a:r>
          </a:p>
          <a:p>
            <a:pPr algn="ctr"/>
            <a:r>
              <a:rPr lang="fr-FR" sz="900">
                <a:solidFill>
                  <a:schemeClr val="bg1"/>
                </a:solidFill>
              </a:rPr>
              <a:t>des actions est de :</a:t>
            </a:r>
          </a:p>
        </xdr:txBody>
      </xdr:sp>
      <xdr:sp macro="" textlink="">
        <xdr:nvSpPr>
          <xdr:cNvPr id="31" name="Légende à une bordure 1 10">
            <a:extLst>
              <a:ext uri="{FF2B5EF4-FFF2-40B4-BE49-F238E27FC236}">
                <a16:creationId xmlns:a16="http://schemas.microsoft.com/office/drawing/2014/main" id="{E28C432B-AF49-6D5B-08DA-B011663F64E3}"/>
              </a:ext>
            </a:extLst>
          </xdr:cNvPr>
          <xdr:cNvSpPr/>
        </xdr:nvSpPr>
        <xdr:spPr>
          <a:xfrm>
            <a:off x="4603083" y="2314363"/>
            <a:ext cx="5216215" cy="652464"/>
          </a:xfrm>
          <a:prstGeom prst="accentCallout1">
            <a:avLst>
              <a:gd name="adj1" fmla="val 49829"/>
              <a:gd name="adj2" fmla="val -2936"/>
              <a:gd name="adj3" fmla="val 50027"/>
              <a:gd name="adj4" fmla="val -11845"/>
            </a:avLst>
          </a:prstGeom>
          <a:solidFill>
            <a:srgbClr val="EDB7B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S’assurer que la ou les actions ont été mises en place</a:t>
            </a:r>
          </a:p>
          <a:p>
            <a:pPr marL="180000" indent="-180000">
              <a:buFont typeface="Arial" panose="020B0604020202020204" pitchFamily="34" charset="0"/>
              <a:buChar char="•"/>
            </a:pPr>
            <a:r>
              <a:rPr lang="fr-FR" sz="900">
                <a:solidFill>
                  <a:srgbClr val="000000"/>
                </a:solidFill>
              </a:rPr>
              <a:t>Définir d’autres actions si nécessaire</a:t>
            </a:r>
          </a:p>
        </xdr:txBody>
      </xdr:sp>
    </xdr:grpSp>
    <xdr:clientData/>
  </xdr:twoCellAnchor>
  <xdr:twoCellAnchor>
    <xdr:from>
      <xdr:col>3</xdr:col>
      <xdr:colOff>386722</xdr:colOff>
      <xdr:row>77</xdr:row>
      <xdr:rowOff>33875</xdr:rowOff>
    </xdr:from>
    <xdr:to>
      <xdr:col>8</xdr:col>
      <xdr:colOff>138408</xdr:colOff>
      <xdr:row>80</xdr:row>
      <xdr:rowOff>143335</xdr:rowOff>
    </xdr:to>
    <xdr:grpSp>
      <xdr:nvGrpSpPr>
        <xdr:cNvPr id="32" name="Groupe 31">
          <a:extLst>
            <a:ext uri="{FF2B5EF4-FFF2-40B4-BE49-F238E27FC236}">
              <a16:creationId xmlns:a16="http://schemas.microsoft.com/office/drawing/2014/main" id="{1D9ED0F0-DEB2-4DB0-AAAE-5A2E7A9A5A4D}"/>
            </a:ext>
          </a:extLst>
        </xdr:cNvPr>
        <xdr:cNvGrpSpPr/>
      </xdr:nvGrpSpPr>
      <xdr:grpSpPr>
        <a:xfrm>
          <a:off x="1691647" y="13749875"/>
          <a:ext cx="4466561" cy="623810"/>
          <a:chOff x="1698094" y="2289195"/>
          <a:chExt cx="8121204" cy="778669"/>
        </a:xfrm>
      </xdr:grpSpPr>
      <xdr:sp macro="" textlink="">
        <xdr:nvSpPr>
          <xdr:cNvPr id="33" name="Rectangle à coins arrondis 12">
            <a:extLst>
              <a:ext uri="{FF2B5EF4-FFF2-40B4-BE49-F238E27FC236}">
                <a16:creationId xmlns:a16="http://schemas.microsoft.com/office/drawing/2014/main" id="{F03025DA-57E1-5F2A-2F1D-AABCEAEE80CF}"/>
              </a:ext>
            </a:extLst>
          </xdr:cNvPr>
          <xdr:cNvSpPr/>
        </xdr:nvSpPr>
        <xdr:spPr>
          <a:xfrm rot="10800000" flipV="1">
            <a:off x="1698094" y="2289195"/>
            <a:ext cx="2186117" cy="778669"/>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La réévaluation des risques permet de s’assurer de :</a:t>
            </a:r>
          </a:p>
        </xdr:txBody>
      </xdr:sp>
      <xdr:sp macro="" textlink="">
        <xdr:nvSpPr>
          <xdr:cNvPr id="34" name="Légende à une bordure 1 13">
            <a:extLst>
              <a:ext uri="{FF2B5EF4-FFF2-40B4-BE49-F238E27FC236}">
                <a16:creationId xmlns:a16="http://schemas.microsoft.com/office/drawing/2014/main" id="{43789801-E492-E3A5-B367-AAD1FCBA2272}"/>
              </a:ext>
            </a:extLst>
          </xdr:cNvPr>
          <xdr:cNvSpPr/>
        </xdr:nvSpPr>
        <xdr:spPr>
          <a:xfrm>
            <a:off x="4603083" y="2314363"/>
            <a:ext cx="5216215" cy="652464"/>
          </a:xfrm>
          <a:prstGeom prst="accentCallout1">
            <a:avLst>
              <a:gd name="adj1" fmla="val 49829"/>
              <a:gd name="adj2" fmla="val -2936"/>
              <a:gd name="adj3" fmla="val 50027"/>
              <a:gd name="adj4" fmla="val -11845"/>
            </a:avLst>
          </a:prstGeom>
          <a:solidFill>
            <a:srgbClr val="DAC2EC"/>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L’efficacité des actions</a:t>
            </a:r>
          </a:p>
          <a:p>
            <a:pPr marL="180000" indent="-180000">
              <a:buFont typeface="Arial" panose="020B0604020202020204" pitchFamily="34" charset="0"/>
              <a:buChar char="•"/>
            </a:pPr>
            <a:r>
              <a:rPr lang="fr-FR" sz="900">
                <a:solidFill>
                  <a:srgbClr val="000000"/>
                </a:solidFill>
              </a:rPr>
              <a:t>La maîtrise des risques</a:t>
            </a:r>
          </a:p>
        </xdr:txBody>
      </xdr:sp>
    </xdr:grpSp>
    <xdr:clientData/>
  </xdr:twoCellAnchor>
  <xdr:twoCellAnchor>
    <xdr:from>
      <xdr:col>3</xdr:col>
      <xdr:colOff>386722</xdr:colOff>
      <xdr:row>80</xdr:row>
      <xdr:rowOff>142667</xdr:rowOff>
    </xdr:from>
    <xdr:to>
      <xdr:col>8</xdr:col>
      <xdr:colOff>138408</xdr:colOff>
      <xdr:row>83</xdr:row>
      <xdr:rowOff>141951</xdr:rowOff>
    </xdr:to>
    <xdr:grpSp>
      <xdr:nvGrpSpPr>
        <xdr:cNvPr id="35" name="Groupe 34">
          <a:extLst>
            <a:ext uri="{FF2B5EF4-FFF2-40B4-BE49-F238E27FC236}">
              <a16:creationId xmlns:a16="http://schemas.microsoft.com/office/drawing/2014/main" id="{9B914793-3F8E-4FF1-AE7B-F8C25F038806}"/>
            </a:ext>
          </a:extLst>
        </xdr:cNvPr>
        <xdr:cNvGrpSpPr/>
      </xdr:nvGrpSpPr>
      <xdr:grpSpPr>
        <a:xfrm>
          <a:off x="1691647" y="14373017"/>
          <a:ext cx="4466561" cy="513634"/>
          <a:chOff x="1613330" y="2314363"/>
          <a:chExt cx="8121205" cy="778669"/>
        </a:xfrm>
      </xdr:grpSpPr>
      <xdr:sp macro="" textlink="">
        <xdr:nvSpPr>
          <xdr:cNvPr id="36" name="Rectangle à coins arrondis 16">
            <a:extLst>
              <a:ext uri="{FF2B5EF4-FFF2-40B4-BE49-F238E27FC236}">
                <a16:creationId xmlns:a16="http://schemas.microsoft.com/office/drawing/2014/main" id="{169C2E0B-5D5D-376F-ADE2-08B1FCC3DEAC}"/>
              </a:ext>
            </a:extLst>
          </xdr:cNvPr>
          <xdr:cNvSpPr/>
        </xdr:nvSpPr>
        <xdr:spPr>
          <a:xfrm rot="10800000" flipV="1">
            <a:off x="1613330" y="2314363"/>
            <a:ext cx="2186117" cy="778669"/>
          </a:xfrm>
          <a:prstGeom prst="roundRec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La réévaluation permet aussi de :</a:t>
            </a:r>
          </a:p>
        </xdr:txBody>
      </xdr:sp>
      <xdr:sp macro="" textlink="">
        <xdr:nvSpPr>
          <xdr:cNvPr id="37" name="Légende à une bordure 1 17">
            <a:extLst>
              <a:ext uri="{FF2B5EF4-FFF2-40B4-BE49-F238E27FC236}">
                <a16:creationId xmlns:a16="http://schemas.microsoft.com/office/drawing/2014/main" id="{C60A50C8-5C68-8A2D-5EB0-DD6B1D149416}"/>
              </a:ext>
            </a:extLst>
          </xdr:cNvPr>
          <xdr:cNvSpPr/>
        </xdr:nvSpPr>
        <xdr:spPr>
          <a:xfrm>
            <a:off x="4518320" y="2314363"/>
            <a:ext cx="5216215" cy="652464"/>
          </a:xfrm>
          <a:prstGeom prst="accentCallout1">
            <a:avLst>
              <a:gd name="adj1" fmla="val 49829"/>
              <a:gd name="adj2" fmla="val -2936"/>
              <a:gd name="adj3" fmla="val 50027"/>
              <a:gd name="adj4" fmla="val -11845"/>
            </a:avLst>
          </a:prstGeom>
          <a:solidFill>
            <a:srgbClr val="DAC2EC"/>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Diminuer la criticité du risque</a:t>
            </a:r>
          </a:p>
          <a:p>
            <a:pPr marL="180000" indent="-180000">
              <a:buFont typeface="Arial" panose="020B0604020202020204" pitchFamily="34" charset="0"/>
              <a:buChar char="•"/>
            </a:pPr>
            <a:r>
              <a:rPr lang="fr-FR" sz="900">
                <a:solidFill>
                  <a:srgbClr val="000000"/>
                </a:solidFill>
              </a:rPr>
              <a:t>Augmenter la criticité du risque</a:t>
            </a:r>
          </a:p>
        </xdr:txBody>
      </xdr:sp>
    </xdr:grpSp>
    <xdr:clientData/>
  </xdr:twoCellAnchor>
  <xdr:twoCellAnchor>
    <xdr:from>
      <xdr:col>2</xdr:col>
      <xdr:colOff>453460</xdr:colOff>
      <xdr:row>27</xdr:row>
      <xdr:rowOff>6491</xdr:rowOff>
    </xdr:from>
    <xdr:to>
      <xdr:col>11</xdr:col>
      <xdr:colOff>385211</xdr:colOff>
      <xdr:row>31</xdr:row>
      <xdr:rowOff>70063</xdr:rowOff>
    </xdr:to>
    <xdr:grpSp>
      <xdr:nvGrpSpPr>
        <xdr:cNvPr id="38" name="Groupe 37">
          <a:extLst>
            <a:ext uri="{FF2B5EF4-FFF2-40B4-BE49-F238E27FC236}">
              <a16:creationId xmlns:a16="http://schemas.microsoft.com/office/drawing/2014/main" id="{CF5ACE89-5E5A-4EE0-BA98-FC2E44082D5C}"/>
            </a:ext>
          </a:extLst>
        </xdr:cNvPr>
        <xdr:cNvGrpSpPr/>
      </xdr:nvGrpSpPr>
      <xdr:grpSpPr>
        <a:xfrm>
          <a:off x="815410" y="5149991"/>
          <a:ext cx="8418526" cy="749372"/>
          <a:chOff x="1266999" y="2314363"/>
          <a:chExt cx="8552299" cy="1267037"/>
        </a:xfrm>
      </xdr:grpSpPr>
      <xdr:sp macro="" textlink="">
        <xdr:nvSpPr>
          <xdr:cNvPr id="39" name="Rectangle à coins arrondis 10">
            <a:extLst>
              <a:ext uri="{FF2B5EF4-FFF2-40B4-BE49-F238E27FC236}">
                <a16:creationId xmlns:a16="http://schemas.microsoft.com/office/drawing/2014/main" id="{3AD33A49-EAC5-3792-99D1-095435808AF5}"/>
              </a:ext>
            </a:extLst>
          </xdr:cNvPr>
          <xdr:cNvSpPr/>
        </xdr:nvSpPr>
        <xdr:spPr>
          <a:xfrm rot="10800000" flipV="1">
            <a:off x="1266999" y="2638018"/>
            <a:ext cx="2186117" cy="619725"/>
          </a:xfrm>
          <a:prstGeom prst="roundRect">
            <a:avLst/>
          </a:prstGeom>
          <a:solidFill>
            <a:srgbClr val="16A08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Préciser </a:t>
            </a:r>
          </a:p>
          <a:p>
            <a:pPr algn="ctr"/>
            <a:r>
              <a:rPr lang="fr-FR" sz="900">
                <a:solidFill>
                  <a:schemeClr val="bg1"/>
                </a:solidFill>
              </a:rPr>
              <a:t>les attendus</a:t>
            </a:r>
          </a:p>
        </xdr:txBody>
      </xdr:sp>
      <xdr:sp macro="" textlink="">
        <xdr:nvSpPr>
          <xdr:cNvPr id="40" name="Légende à une bordure 1 12">
            <a:extLst>
              <a:ext uri="{FF2B5EF4-FFF2-40B4-BE49-F238E27FC236}">
                <a16:creationId xmlns:a16="http://schemas.microsoft.com/office/drawing/2014/main" id="{88ED3617-1185-5097-0ABE-20558B37E5F1}"/>
              </a:ext>
            </a:extLst>
          </xdr:cNvPr>
          <xdr:cNvSpPr/>
        </xdr:nvSpPr>
        <xdr:spPr>
          <a:xfrm>
            <a:off x="4603083" y="2314363"/>
            <a:ext cx="5216215" cy="1267037"/>
          </a:xfrm>
          <a:prstGeom prst="accentCallout1">
            <a:avLst>
              <a:gd name="adj1" fmla="val 49829"/>
              <a:gd name="adj2" fmla="val -6771"/>
              <a:gd name="adj3" fmla="val 50027"/>
              <a:gd name="adj4" fmla="val -18419"/>
            </a:avLst>
          </a:prstGeom>
          <a:solidFill>
            <a:srgbClr val="A0F2E2"/>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Attention à ne pas avoir des attendus peu clairs ou erronés.</a:t>
            </a:r>
          </a:p>
          <a:p>
            <a:pPr marL="180000" indent="-180000">
              <a:buFont typeface="Arial" panose="020B0604020202020204" pitchFamily="34" charset="0"/>
              <a:buChar char="•"/>
            </a:pPr>
            <a:r>
              <a:rPr lang="fr-FR" sz="900">
                <a:solidFill>
                  <a:srgbClr val="000000"/>
                </a:solidFill>
              </a:rPr>
              <a:t>Avoir des objectifs irréalistes dès le début n’est pas un risque, c’est une erreur fatale. </a:t>
            </a:r>
          </a:p>
          <a:p>
            <a:pPr marL="180000" indent="-180000">
              <a:buFont typeface="Arial" panose="020B0604020202020204" pitchFamily="34" charset="0"/>
              <a:buChar char="•"/>
            </a:pPr>
            <a:r>
              <a:rPr lang="fr-FR" sz="900">
                <a:solidFill>
                  <a:srgbClr val="000000"/>
                </a:solidFill>
              </a:rPr>
              <a:t>Sans objectifs clairs, impossible de commencer une démarche de maîtrise des risques</a:t>
            </a:r>
          </a:p>
        </xdr:txBody>
      </xdr:sp>
    </xdr:grpSp>
    <xdr:clientData/>
  </xdr:twoCellAnchor>
  <xdr:twoCellAnchor>
    <xdr:from>
      <xdr:col>2</xdr:col>
      <xdr:colOff>458610</xdr:colOff>
      <xdr:row>31</xdr:row>
      <xdr:rowOff>156374</xdr:rowOff>
    </xdr:from>
    <xdr:to>
      <xdr:col>11</xdr:col>
      <xdr:colOff>409411</xdr:colOff>
      <xdr:row>36</xdr:row>
      <xdr:rowOff>32690</xdr:rowOff>
    </xdr:to>
    <xdr:grpSp>
      <xdr:nvGrpSpPr>
        <xdr:cNvPr id="41" name="Groupe 40">
          <a:extLst>
            <a:ext uri="{FF2B5EF4-FFF2-40B4-BE49-F238E27FC236}">
              <a16:creationId xmlns:a16="http://schemas.microsoft.com/office/drawing/2014/main" id="{A4B1354F-C68F-4B8B-B9AA-12867C2D1D7C}"/>
            </a:ext>
          </a:extLst>
        </xdr:cNvPr>
        <xdr:cNvGrpSpPr/>
      </xdr:nvGrpSpPr>
      <xdr:grpSpPr>
        <a:xfrm>
          <a:off x="820560" y="5985674"/>
          <a:ext cx="8437576" cy="733566"/>
          <a:chOff x="1266999" y="4240341"/>
          <a:chExt cx="8552299" cy="1267037"/>
        </a:xfrm>
      </xdr:grpSpPr>
      <xdr:sp macro="" textlink="">
        <xdr:nvSpPr>
          <xdr:cNvPr id="42" name="Rectangle à coins arrondis 13">
            <a:extLst>
              <a:ext uri="{FF2B5EF4-FFF2-40B4-BE49-F238E27FC236}">
                <a16:creationId xmlns:a16="http://schemas.microsoft.com/office/drawing/2014/main" id="{F5605B09-7295-49B2-2440-1C177CA5193F}"/>
              </a:ext>
            </a:extLst>
          </xdr:cNvPr>
          <xdr:cNvSpPr/>
        </xdr:nvSpPr>
        <xdr:spPr>
          <a:xfrm rot="10800000" flipV="1">
            <a:off x="1266999" y="4563996"/>
            <a:ext cx="2186117" cy="619725"/>
          </a:xfrm>
          <a:prstGeom prst="roundRect">
            <a:avLst/>
          </a:prstGeom>
          <a:solidFill>
            <a:srgbClr val="16A08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r>
              <a:rPr lang="fr-FR" sz="900">
                <a:solidFill>
                  <a:schemeClr val="bg1"/>
                </a:solidFill>
              </a:rPr>
              <a:t>Identifier </a:t>
            </a:r>
          </a:p>
          <a:p>
            <a:pPr algn="ctr"/>
            <a:r>
              <a:rPr lang="fr-FR" sz="900">
                <a:solidFill>
                  <a:schemeClr val="bg1"/>
                </a:solidFill>
              </a:rPr>
              <a:t>les ressources</a:t>
            </a:r>
          </a:p>
        </xdr:txBody>
      </xdr:sp>
      <xdr:sp macro="" textlink="">
        <xdr:nvSpPr>
          <xdr:cNvPr id="43" name="Légende à une bordure 1 14">
            <a:extLst>
              <a:ext uri="{FF2B5EF4-FFF2-40B4-BE49-F238E27FC236}">
                <a16:creationId xmlns:a16="http://schemas.microsoft.com/office/drawing/2014/main" id="{14FEDE97-F2B4-0EBC-EB8C-EF5249F4EAE3}"/>
              </a:ext>
            </a:extLst>
          </xdr:cNvPr>
          <xdr:cNvSpPr/>
        </xdr:nvSpPr>
        <xdr:spPr>
          <a:xfrm>
            <a:off x="4603083" y="4240341"/>
            <a:ext cx="5216215" cy="1267037"/>
          </a:xfrm>
          <a:prstGeom prst="accentCallout1">
            <a:avLst>
              <a:gd name="adj1" fmla="val 49829"/>
              <a:gd name="adj2" fmla="val -6771"/>
              <a:gd name="adj3" fmla="val 50027"/>
              <a:gd name="adj4" fmla="val -18419"/>
            </a:avLst>
          </a:prstGeom>
          <a:solidFill>
            <a:srgbClr val="A0F2E2"/>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marL="180000" indent="-180000">
              <a:buFont typeface="Arial" panose="020B0604020202020204" pitchFamily="34" charset="0"/>
              <a:buChar char="•"/>
            </a:pPr>
            <a:r>
              <a:rPr lang="fr-FR" sz="900">
                <a:solidFill>
                  <a:srgbClr val="000000"/>
                </a:solidFill>
              </a:rPr>
              <a:t>Faire de la gestion des risques, c’est avant tout s’allouer des Hommes, des compétences, des moyens informatiques, de l’argent et du temps, dans un but de gagner à moyen et long terme du temps, de l’argent et la satisfaction client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702732</xdr:colOff>
      <xdr:row>4</xdr:row>
      <xdr:rowOff>269623</xdr:rowOff>
    </xdr:from>
    <xdr:to>
      <xdr:col>3</xdr:col>
      <xdr:colOff>2191769</xdr:colOff>
      <xdr:row>10</xdr:row>
      <xdr:rowOff>182670</xdr:rowOff>
    </xdr:to>
    <xdr:pic>
      <xdr:nvPicPr>
        <xdr:cNvPr id="2" name="Image 1">
          <a:extLst>
            <a:ext uri="{FF2B5EF4-FFF2-40B4-BE49-F238E27FC236}">
              <a16:creationId xmlns:a16="http://schemas.microsoft.com/office/drawing/2014/main" id="{0CD0EF9F-316C-4D3B-B34C-6B5E6EE211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50482" y="1336423"/>
          <a:ext cx="4889462" cy="1627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1272540</xdr:colOff>
      <xdr:row>1</xdr:row>
      <xdr:rowOff>177165</xdr:rowOff>
    </xdr:from>
    <xdr:to>
      <xdr:col>4</xdr:col>
      <xdr:colOff>386922</xdr:colOff>
      <xdr:row>3</xdr:row>
      <xdr:rowOff>80047</xdr:rowOff>
    </xdr:to>
    <xdr:pic>
      <xdr:nvPicPr>
        <xdr:cNvPr id="2" name="Image 1">
          <a:extLst>
            <a:ext uri="{FF2B5EF4-FFF2-40B4-BE49-F238E27FC236}">
              <a16:creationId xmlns:a16="http://schemas.microsoft.com/office/drawing/2014/main" id="{B58C0536-7E09-4680-B084-0330CC179FBB}"/>
            </a:ext>
          </a:extLst>
        </xdr:cNvPr>
        <xdr:cNvPicPr>
          <a:picLocks noChangeAspect="1"/>
        </xdr:cNvPicPr>
      </xdr:nvPicPr>
      <xdr:blipFill>
        <a:blip xmlns:r="http://schemas.openxmlformats.org/officeDocument/2006/relationships" r:embed="rId1"/>
        <a:stretch>
          <a:fillRect/>
        </a:stretch>
      </xdr:blipFill>
      <xdr:spPr>
        <a:xfrm>
          <a:off x="2716530" y="758190"/>
          <a:ext cx="1710897" cy="274357"/>
        </a:xfrm>
        <a:prstGeom prst="rect">
          <a:avLst/>
        </a:prstGeom>
      </xdr:spPr>
    </xdr:pic>
    <xdr:clientData/>
  </xdr:twoCellAnchor>
  <xdr:twoCellAnchor editAs="oneCell">
    <xdr:from>
      <xdr:col>1</xdr:col>
      <xdr:colOff>1249680</xdr:colOff>
      <xdr:row>25</xdr:row>
      <xdr:rowOff>15240</xdr:rowOff>
    </xdr:from>
    <xdr:to>
      <xdr:col>4</xdr:col>
      <xdr:colOff>373587</xdr:colOff>
      <xdr:row>26</xdr:row>
      <xdr:rowOff>118147</xdr:rowOff>
    </xdr:to>
    <xdr:pic>
      <xdr:nvPicPr>
        <xdr:cNvPr id="4" name="Image 3">
          <a:extLst>
            <a:ext uri="{FF2B5EF4-FFF2-40B4-BE49-F238E27FC236}">
              <a16:creationId xmlns:a16="http://schemas.microsoft.com/office/drawing/2014/main" id="{D57D0AD0-6927-466A-9C77-06F710DAE714}"/>
            </a:ext>
          </a:extLst>
        </xdr:cNvPr>
        <xdr:cNvPicPr>
          <a:picLocks noChangeAspect="1"/>
        </xdr:cNvPicPr>
      </xdr:nvPicPr>
      <xdr:blipFill>
        <a:blip xmlns:r="http://schemas.openxmlformats.org/officeDocument/2006/relationships" r:embed="rId1"/>
        <a:stretch>
          <a:fillRect/>
        </a:stretch>
      </xdr:blipFill>
      <xdr:spPr>
        <a:xfrm>
          <a:off x="2691765" y="5657850"/>
          <a:ext cx="1701372" cy="281977"/>
        </a:xfrm>
        <a:prstGeom prst="rect">
          <a:avLst/>
        </a:prstGeom>
      </xdr:spPr>
    </xdr:pic>
    <xdr:clientData/>
  </xdr:twoCellAnchor>
  <xdr:twoCellAnchor editAs="oneCell">
    <xdr:from>
      <xdr:col>1</xdr:col>
      <xdr:colOff>1243965</xdr:colOff>
      <xdr:row>47</xdr:row>
      <xdr:rowOff>171450</xdr:rowOff>
    </xdr:from>
    <xdr:to>
      <xdr:col>4</xdr:col>
      <xdr:colOff>381207</xdr:colOff>
      <xdr:row>49</xdr:row>
      <xdr:rowOff>72427</xdr:rowOff>
    </xdr:to>
    <xdr:pic>
      <xdr:nvPicPr>
        <xdr:cNvPr id="6" name="Image 5">
          <a:extLst>
            <a:ext uri="{FF2B5EF4-FFF2-40B4-BE49-F238E27FC236}">
              <a16:creationId xmlns:a16="http://schemas.microsoft.com/office/drawing/2014/main" id="{D7CBC399-E8AF-4700-8020-B525A5275575}"/>
            </a:ext>
          </a:extLst>
        </xdr:cNvPr>
        <xdr:cNvPicPr>
          <a:picLocks noChangeAspect="1"/>
        </xdr:cNvPicPr>
      </xdr:nvPicPr>
      <xdr:blipFill>
        <a:blip xmlns:r="http://schemas.openxmlformats.org/officeDocument/2006/relationships" r:embed="rId1"/>
        <a:stretch>
          <a:fillRect/>
        </a:stretch>
      </xdr:blipFill>
      <xdr:spPr>
        <a:xfrm>
          <a:off x="2686050" y="11064240"/>
          <a:ext cx="1707087" cy="255307"/>
        </a:xfrm>
        <a:prstGeom prst="rect">
          <a:avLst/>
        </a:prstGeom>
      </xdr:spPr>
    </xdr:pic>
    <xdr:clientData/>
  </xdr:twoCellAnchor>
  <xdr:twoCellAnchor>
    <xdr:from>
      <xdr:col>4</xdr:col>
      <xdr:colOff>266700</xdr:colOff>
      <xdr:row>4</xdr:row>
      <xdr:rowOff>23812</xdr:rowOff>
    </xdr:from>
    <xdr:to>
      <xdr:col>9</xdr:col>
      <xdr:colOff>238125</xdr:colOff>
      <xdr:row>17</xdr:row>
      <xdr:rowOff>166687</xdr:rowOff>
    </xdr:to>
    <xdr:graphicFrame macro="">
      <xdr:nvGraphicFramePr>
        <xdr:cNvPr id="8" name="Graphique 7">
          <a:extLst>
            <a:ext uri="{FF2B5EF4-FFF2-40B4-BE49-F238E27FC236}">
              <a16:creationId xmlns:a16="http://schemas.microsoft.com/office/drawing/2014/main" id="{9E26CBA7-9E0E-5627-8BE7-D93AFACA3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104775</xdr:colOff>
      <xdr:row>27</xdr:row>
      <xdr:rowOff>14287</xdr:rowOff>
    </xdr:from>
    <xdr:to>
      <xdr:col>9</xdr:col>
      <xdr:colOff>714375</xdr:colOff>
      <xdr:row>41</xdr:row>
      <xdr:rowOff>71437</xdr:rowOff>
    </xdr:to>
    <xdr:graphicFrame macro="">
      <xdr:nvGraphicFramePr>
        <xdr:cNvPr id="9" name="Graphique 8">
          <a:extLst>
            <a:ext uri="{FF2B5EF4-FFF2-40B4-BE49-F238E27FC236}">
              <a16:creationId xmlns:a16="http://schemas.microsoft.com/office/drawing/2014/main" id="{DCDDFC5E-DEA8-A1A4-4DCF-59B68407D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209549</xdr:colOff>
      <xdr:row>52</xdr:row>
      <xdr:rowOff>14286</xdr:rowOff>
    </xdr:from>
    <xdr:to>
      <xdr:col>10</xdr:col>
      <xdr:colOff>247649</xdr:colOff>
      <xdr:row>69</xdr:row>
      <xdr:rowOff>180974</xdr:rowOff>
    </xdr:to>
    <xdr:graphicFrame macro="">
      <xdr:nvGraphicFramePr>
        <xdr:cNvPr id="10" name="Graphique 9">
          <a:extLst>
            <a:ext uri="{FF2B5EF4-FFF2-40B4-BE49-F238E27FC236}">
              <a16:creationId xmlns:a16="http://schemas.microsoft.com/office/drawing/2014/main" id="{08C7D7BC-E45F-D384-6274-D0AB3C346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126681</xdr:colOff>
      <xdr:row>2</xdr:row>
      <xdr:rowOff>480417</xdr:rowOff>
    </xdr:from>
    <xdr:to>
      <xdr:col>7</xdr:col>
      <xdr:colOff>449576</xdr:colOff>
      <xdr:row>6</xdr:row>
      <xdr:rowOff>152235</xdr:rowOff>
    </xdr:to>
    <xdr:sp macro="" textlink="">
      <xdr:nvSpPr>
        <xdr:cNvPr id="2" name="Pentagone 1">
          <a:extLst>
            <a:ext uri="{FF2B5EF4-FFF2-40B4-BE49-F238E27FC236}">
              <a16:creationId xmlns:a16="http://schemas.microsoft.com/office/drawing/2014/main" id="{C7CB20A5-B007-4E2D-87BD-DDEA7BF6DF32}"/>
            </a:ext>
          </a:extLst>
        </xdr:cNvPr>
        <xdr:cNvSpPr/>
      </xdr:nvSpPr>
      <xdr:spPr>
        <a:xfrm rot="5400000">
          <a:off x="7845525" y="1457898"/>
          <a:ext cx="871968" cy="32670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700" b="1" i="0"/>
            <a:t>EVALUATION</a:t>
          </a:r>
          <a:endParaRPr lang="fr-FR" sz="800" b="1" i="0"/>
        </a:p>
      </xdr:txBody>
    </xdr:sp>
    <xdr:clientData/>
  </xdr:twoCellAnchor>
  <xdr:twoCellAnchor>
    <xdr:from>
      <xdr:col>9</xdr:col>
      <xdr:colOff>149542</xdr:colOff>
      <xdr:row>2</xdr:row>
      <xdr:rowOff>483099</xdr:rowOff>
    </xdr:from>
    <xdr:to>
      <xdr:col>9</xdr:col>
      <xdr:colOff>464817</xdr:colOff>
      <xdr:row>6</xdr:row>
      <xdr:rowOff>152235</xdr:rowOff>
    </xdr:to>
    <xdr:sp macro="" textlink="">
      <xdr:nvSpPr>
        <xdr:cNvPr id="3" name="Pentagone 2">
          <a:extLst>
            <a:ext uri="{FF2B5EF4-FFF2-40B4-BE49-F238E27FC236}">
              <a16:creationId xmlns:a16="http://schemas.microsoft.com/office/drawing/2014/main" id="{757080A3-5F68-4350-B620-D89F248749A0}"/>
            </a:ext>
          </a:extLst>
        </xdr:cNvPr>
        <xdr:cNvSpPr/>
      </xdr:nvSpPr>
      <xdr:spPr>
        <a:xfrm rot="5400000">
          <a:off x="10290981" y="1461145"/>
          <a:ext cx="878811" cy="31337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700" b="1" i="0"/>
            <a:t>EVALUATION</a:t>
          </a:r>
        </a:p>
      </xdr:txBody>
    </xdr:sp>
    <xdr:clientData/>
  </xdr:twoCellAnchor>
  <xdr:twoCellAnchor>
    <xdr:from>
      <xdr:col>11</xdr:col>
      <xdr:colOff>50482</xdr:colOff>
      <xdr:row>2</xdr:row>
      <xdr:rowOff>485778</xdr:rowOff>
    </xdr:from>
    <xdr:to>
      <xdr:col>11</xdr:col>
      <xdr:colOff>373377</xdr:colOff>
      <xdr:row>6</xdr:row>
      <xdr:rowOff>152236</xdr:rowOff>
    </xdr:to>
    <xdr:sp macro="" textlink="">
      <xdr:nvSpPr>
        <xdr:cNvPr id="4" name="Pentagone 3">
          <a:extLst>
            <a:ext uri="{FF2B5EF4-FFF2-40B4-BE49-F238E27FC236}">
              <a16:creationId xmlns:a16="http://schemas.microsoft.com/office/drawing/2014/main" id="{468435AF-4BBE-4970-81FA-DD2563DE787B}"/>
            </a:ext>
          </a:extLst>
        </xdr:cNvPr>
        <xdr:cNvSpPr/>
      </xdr:nvSpPr>
      <xdr:spPr>
        <a:xfrm rot="5400000">
          <a:off x="13070763" y="1455817"/>
          <a:ext cx="876133" cy="32670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700" b="1" i="0"/>
            <a:t>EVALUATION</a:t>
          </a:r>
          <a:endParaRPr lang="fr-FR" sz="800" b="1" i="0"/>
        </a:p>
      </xdr:txBody>
    </xdr:sp>
    <xdr:clientData/>
  </xdr:twoCellAnchor>
  <xdr:twoCellAnchor>
    <xdr:from>
      <xdr:col>23</xdr:col>
      <xdr:colOff>76200</xdr:colOff>
      <xdr:row>5</xdr:row>
      <xdr:rowOff>19050</xdr:rowOff>
    </xdr:from>
    <xdr:to>
      <xdr:col>23</xdr:col>
      <xdr:colOff>395285</xdr:colOff>
      <xdr:row>6</xdr:row>
      <xdr:rowOff>28578</xdr:rowOff>
    </xdr:to>
    <xdr:sp macro="" textlink="">
      <xdr:nvSpPr>
        <xdr:cNvPr id="5" name="Pentagone 4">
          <a:extLst>
            <a:ext uri="{FF2B5EF4-FFF2-40B4-BE49-F238E27FC236}">
              <a16:creationId xmlns:a16="http://schemas.microsoft.com/office/drawing/2014/main" id="{EBA686B6-92E7-4A65-B63E-CC99228F153B}"/>
            </a:ext>
          </a:extLst>
        </xdr:cNvPr>
        <xdr:cNvSpPr/>
      </xdr:nvSpPr>
      <xdr:spPr>
        <a:xfrm rot="5400000">
          <a:off x="24614978" y="1674022"/>
          <a:ext cx="205743" cy="31718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24</xdr:col>
      <xdr:colOff>52387</xdr:colOff>
      <xdr:row>5</xdr:row>
      <xdr:rowOff>19050</xdr:rowOff>
    </xdr:from>
    <xdr:to>
      <xdr:col>24</xdr:col>
      <xdr:colOff>371472</xdr:colOff>
      <xdr:row>6</xdr:row>
      <xdr:rowOff>28578</xdr:rowOff>
    </xdr:to>
    <xdr:sp macro="" textlink="">
      <xdr:nvSpPr>
        <xdr:cNvPr id="6" name="Pentagone 5">
          <a:extLst>
            <a:ext uri="{FF2B5EF4-FFF2-40B4-BE49-F238E27FC236}">
              <a16:creationId xmlns:a16="http://schemas.microsoft.com/office/drawing/2014/main" id="{28EFB438-F864-4FD5-A7A5-89F0DDA6E579}"/>
            </a:ext>
          </a:extLst>
        </xdr:cNvPr>
        <xdr:cNvSpPr/>
      </xdr:nvSpPr>
      <xdr:spPr>
        <a:xfrm rot="5400000">
          <a:off x="24980738" y="1671164"/>
          <a:ext cx="205743" cy="32289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25</xdr:col>
      <xdr:colOff>35719</xdr:colOff>
      <xdr:row>5</xdr:row>
      <xdr:rowOff>12699</xdr:rowOff>
    </xdr:from>
    <xdr:to>
      <xdr:col>25</xdr:col>
      <xdr:colOff>354804</xdr:colOff>
      <xdr:row>6</xdr:row>
      <xdr:rowOff>22227</xdr:rowOff>
    </xdr:to>
    <xdr:sp macro="" textlink="">
      <xdr:nvSpPr>
        <xdr:cNvPr id="7" name="Pentagone 6">
          <a:extLst>
            <a:ext uri="{FF2B5EF4-FFF2-40B4-BE49-F238E27FC236}">
              <a16:creationId xmlns:a16="http://schemas.microsoft.com/office/drawing/2014/main" id="{8E3AF768-AE5F-4346-AF34-E047F0E9486D}"/>
            </a:ext>
          </a:extLst>
        </xdr:cNvPr>
        <xdr:cNvSpPr/>
      </xdr:nvSpPr>
      <xdr:spPr>
        <a:xfrm rot="5400000">
          <a:off x="25347927" y="1665766"/>
          <a:ext cx="213363" cy="31718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17</xdr:col>
      <xdr:colOff>76200</xdr:colOff>
      <xdr:row>5</xdr:row>
      <xdr:rowOff>19050</xdr:rowOff>
    </xdr:from>
    <xdr:to>
      <xdr:col>17</xdr:col>
      <xdr:colOff>395285</xdr:colOff>
      <xdr:row>6</xdr:row>
      <xdr:rowOff>28578</xdr:rowOff>
    </xdr:to>
    <xdr:sp macro="" textlink="">
      <xdr:nvSpPr>
        <xdr:cNvPr id="8" name="Pentagone 8">
          <a:extLst>
            <a:ext uri="{FF2B5EF4-FFF2-40B4-BE49-F238E27FC236}">
              <a16:creationId xmlns:a16="http://schemas.microsoft.com/office/drawing/2014/main" id="{9C9ED309-40A8-4ECD-BCD7-FF4602425B78}"/>
            </a:ext>
          </a:extLst>
        </xdr:cNvPr>
        <xdr:cNvSpPr/>
      </xdr:nvSpPr>
      <xdr:spPr>
        <a:xfrm rot="5400000">
          <a:off x="19631498" y="1674022"/>
          <a:ext cx="205743" cy="31718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18</xdr:col>
      <xdr:colOff>52387</xdr:colOff>
      <xdr:row>5</xdr:row>
      <xdr:rowOff>19050</xdr:rowOff>
    </xdr:from>
    <xdr:to>
      <xdr:col>18</xdr:col>
      <xdr:colOff>371472</xdr:colOff>
      <xdr:row>6</xdr:row>
      <xdr:rowOff>28578</xdr:rowOff>
    </xdr:to>
    <xdr:sp macro="" textlink="">
      <xdr:nvSpPr>
        <xdr:cNvPr id="9" name="Pentagone 9">
          <a:extLst>
            <a:ext uri="{FF2B5EF4-FFF2-40B4-BE49-F238E27FC236}">
              <a16:creationId xmlns:a16="http://schemas.microsoft.com/office/drawing/2014/main" id="{AE405301-C049-4990-9141-15A32CF6CD7E}"/>
            </a:ext>
          </a:extLst>
        </xdr:cNvPr>
        <xdr:cNvSpPr/>
      </xdr:nvSpPr>
      <xdr:spPr>
        <a:xfrm rot="5400000">
          <a:off x="19997258" y="1671164"/>
          <a:ext cx="205743" cy="32289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19</xdr:col>
      <xdr:colOff>35719</xdr:colOff>
      <xdr:row>5</xdr:row>
      <xdr:rowOff>12699</xdr:rowOff>
    </xdr:from>
    <xdr:to>
      <xdr:col>19</xdr:col>
      <xdr:colOff>354804</xdr:colOff>
      <xdr:row>6</xdr:row>
      <xdr:rowOff>22227</xdr:rowOff>
    </xdr:to>
    <xdr:sp macro="" textlink="">
      <xdr:nvSpPr>
        <xdr:cNvPr id="10" name="Pentagone 10">
          <a:extLst>
            <a:ext uri="{FF2B5EF4-FFF2-40B4-BE49-F238E27FC236}">
              <a16:creationId xmlns:a16="http://schemas.microsoft.com/office/drawing/2014/main" id="{6102C25B-8BCB-4F57-A96D-398AB293D71D}"/>
            </a:ext>
          </a:extLst>
        </xdr:cNvPr>
        <xdr:cNvSpPr/>
      </xdr:nvSpPr>
      <xdr:spPr>
        <a:xfrm rot="5400000">
          <a:off x="20364447" y="1665766"/>
          <a:ext cx="213363" cy="317180"/>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723477</xdr:colOff>
      <xdr:row>11</xdr:row>
      <xdr:rowOff>115782</xdr:rowOff>
    </xdr:from>
    <xdr:to>
      <xdr:col>13</xdr:col>
      <xdr:colOff>552450</xdr:colOff>
      <xdr:row>35</xdr:row>
      <xdr:rowOff>4022</xdr:rowOff>
    </xdr:to>
    <xdr:graphicFrame macro="">
      <xdr:nvGraphicFramePr>
        <xdr:cNvPr id="3" name="Chart 3">
          <a:extLst>
            <a:ext uri="{FF2B5EF4-FFF2-40B4-BE49-F238E27FC236}">
              <a16:creationId xmlns:a16="http://schemas.microsoft.com/office/drawing/2014/main" id="{150F2FA3-07CB-419E-838A-BB9CDA345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128589</xdr:colOff>
      <xdr:row>5</xdr:row>
      <xdr:rowOff>19051</xdr:rowOff>
    </xdr:from>
    <xdr:to>
      <xdr:col>7</xdr:col>
      <xdr:colOff>447674</xdr:colOff>
      <xdr:row>12</xdr:row>
      <xdr:rowOff>176216</xdr:rowOff>
    </xdr:to>
    <xdr:sp macro="" textlink="">
      <xdr:nvSpPr>
        <xdr:cNvPr id="2" name="Pentagone 1">
          <a:extLst>
            <a:ext uri="{FF2B5EF4-FFF2-40B4-BE49-F238E27FC236}">
              <a16:creationId xmlns:a16="http://schemas.microsoft.com/office/drawing/2014/main" id="{00000000-0008-0000-0900-000002000000}"/>
            </a:ext>
          </a:extLst>
        </xdr:cNvPr>
        <xdr:cNvSpPr/>
      </xdr:nvSpPr>
      <xdr:spPr>
        <a:xfrm rot="5400000">
          <a:off x="9353549" y="1512891"/>
          <a:ext cx="830265"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800" b="1" i="0"/>
            <a:t>EVALUATION</a:t>
          </a:r>
        </a:p>
      </xdr:txBody>
    </xdr:sp>
    <xdr:clientData/>
  </xdr:twoCellAnchor>
  <xdr:twoCellAnchor>
    <xdr:from>
      <xdr:col>9</xdr:col>
      <xdr:colOff>147639</xdr:colOff>
      <xdr:row>5</xdr:row>
      <xdr:rowOff>19051</xdr:rowOff>
    </xdr:from>
    <xdr:to>
      <xdr:col>9</xdr:col>
      <xdr:colOff>466724</xdr:colOff>
      <xdr:row>12</xdr:row>
      <xdr:rowOff>176216</xdr:rowOff>
    </xdr:to>
    <xdr:sp macro="" textlink="">
      <xdr:nvSpPr>
        <xdr:cNvPr id="3" name="Pentagone 2">
          <a:extLst>
            <a:ext uri="{FF2B5EF4-FFF2-40B4-BE49-F238E27FC236}">
              <a16:creationId xmlns:a16="http://schemas.microsoft.com/office/drawing/2014/main" id="{00000000-0008-0000-0900-000003000000}"/>
            </a:ext>
          </a:extLst>
        </xdr:cNvPr>
        <xdr:cNvSpPr/>
      </xdr:nvSpPr>
      <xdr:spPr>
        <a:xfrm rot="5400000">
          <a:off x="11918949" y="1512891"/>
          <a:ext cx="830265"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800" b="1" i="0"/>
            <a:t>EVALUATION</a:t>
          </a:r>
        </a:p>
      </xdr:txBody>
    </xdr:sp>
    <xdr:clientData/>
  </xdr:twoCellAnchor>
  <xdr:twoCellAnchor>
    <xdr:from>
      <xdr:col>11</xdr:col>
      <xdr:colOff>52389</xdr:colOff>
      <xdr:row>5</xdr:row>
      <xdr:rowOff>19051</xdr:rowOff>
    </xdr:from>
    <xdr:to>
      <xdr:col>11</xdr:col>
      <xdr:colOff>371474</xdr:colOff>
      <xdr:row>12</xdr:row>
      <xdr:rowOff>176216</xdr:rowOff>
    </xdr:to>
    <xdr:sp macro="" textlink="">
      <xdr:nvSpPr>
        <xdr:cNvPr id="4" name="Pentagone 3">
          <a:extLst>
            <a:ext uri="{FF2B5EF4-FFF2-40B4-BE49-F238E27FC236}">
              <a16:creationId xmlns:a16="http://schemas.microsoft.com/office/drawing/2014/main" id="{00000000-0008-0000-0900-000004000000}"/>
            </a:ext>
          </a:extLst>
        </xdr:cNvPr>
        <xdr:cNvSpPr/>
      </xdr:nvSpPr>
      <xdr:spPr>
        <a:xfrm rot="5400000">
          <a:off x="14827249" y="1512891"/>
          <a:ext cx="830265"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fr-FR" sz="800" b="1" i="0"/>
            <a:t>EVALUATION</a:t>
          </a:r>
        </a:p>
      </xdr:txBody>
    </xdr:sp>
    <xdr:clientData/>
  </xdr:twoCellAnchor>
  <xdr:twoCellAnchor>
    <xdr:from>
      <xdr:col>23</xdr:col>
      <xdr:colOff>76200</xdr:colOff>
      <xdr:row>5</xdr:row>
      <xdr:rowOff>19050</xdr:rowOff>
    </xdr:from>
    <xdr:to>
      <xdr:col>23</xdr:col>
      <xdr:colOff>395285</xdr:colOff>
      <xdr:row>11</xdr:row>
      <xdr:rowOff>28578</xdr:rowOff>
    </xdr:to>
    <xdr:sp macro="" textlink="">
      <xdr:nvSpPr>
        <xdr:cNvPr id="5" name="Pentagone 4">
          <a:extLst>
            <a:ext uri="{FF2B5EF4-FFF2-40B4-BE49-F238E27FC236}">
              <a16:creationId xmlns:a16="http://schemas.microsoft.com/office/drawing/2014/main" id="{00000000-0008-0000-0900-000005000000}"/>
            </a:ext>
          </a:extLst>
        </xdr:cNvPr>
        <xdr:cNvSpPr/>
      </xdr:nvSpPr>
      <xdr:spPr>
        <a:xfrm rot="5400000">
          <a:off x="24253029" y="1350171"/>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24</xdr:col>
      <xdr:colOff>28575</xdr:colOff>
      <xdr:row>5</xdr:row>
      <xdr:rowOff>19050</xdr:rowOff>
    </xdr:from>
    <xdr:to>
      <xdr:col>24</xdr:col>
      <xdr:colOff>347660</xdr:colOff>
      <xdr:row>11</xdr:row>
      <xdr:rowOff>28578</xdr:rowOff>
    </xdr:to>
    <xdr:sp macro="" textlink="">
      <xdr:nvSpPr>
        <xdr:cNvPr id="6" name="Pentagone 5">
          <a:extLst>
            <a:ext uri="{FF2B5EF4-FFF2-40B4-BE49-F238E27FC236}">
              <a16:creationId xmlns:a16="http://schemas.microsoft.com/office/drawing/2014/main" id="{00000000-0008-0000-0900-000006000000}"/>
            </a:ext>
          </a:extLst>
        </xdr:cNvPr>
        <xdr:cNvSpPr/>
      </xdr:nvSpPr>
      <xdr:spPr>
        <a:xfrm rot="5400000">
          <a:off x="24694354" y="1350171"/>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25</xdr:col>
      <xdr:colOff>47625</xdr:colOff>
      <xdr:row>5</xdr:row>
      <xdr:rowOff>28575</xdr:rowOff>
    </xdr:from>
    <xdr:to>
      <xdr:col>25</xdr:col>
      <xdr:colOff>366710</xdr:colOff>
      <xdr:row>11</xdr:row>
      <xdr:rowOff>38103</xdr:rowOff>
    </xdr:to>
    <xdr:sp macro="" textlink="">
      <xdr:nvSpPr>
        <xdr:cNvPr id="7" name="Pentagone 6">
          <a:extLst>
            <a:ext uri="{FF2B5EF4-FFF2-40B4-BE49-F238E27FC236}">
              <a16:creationId xmlns:a16="http://schemas.microsoft.com/office/drawing/2014/main" id="{00000000-0008-0000-0900-000007000000}"/>
            </a:ext>
          </a:extLst>
        </xdr:cNvPr>
        <xdr:cNvSpPr/>
      </xdr:nvSpPr>
      <xdr:spPr>
        <a:xfrm rot="5400000">
          <a:off x="25113454" y="1359696"/>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17</xdr:col>
      <xdr:colOff>76200</xdr:colOff>
      <xdr:row>5</xdr:row>
      <xdr:rowOff>19050</xdr:rowOff>
    </xdr:from>
    <xdr:to>
      <xdr:col>17</xdr:col>
      <xdr:colOff>395285</xdr:colOff>
      <xdr:row>11</xdr:row>
      <xdr:rowOff>28578</xdr:rowOff>
    </xdr:to>
    <xdr:sp macro="" textlink="">
      <xdr:nvSpPr>
        <xdr:cNvPr id="8" name="Pentagone 7">
          <a:extLst>
            <a:ext uri="{FF2B5EF4-FFF2-40B4-BE49-F238E27FC236}">
              <a16:creationId xmlns:a16="http://schemas.microsoft.com/office/drawing/2014/main" id="{00000000-0008-0000-0900-000008000000}"/>
            </a:ext>
          </a:extLst>
        </xdr:cNvPr>
        <xdr:cNvSpPr/>
      </xdr:nvSpPr>
      <xdr:spPr>
        <a:xfrm rot="5400000">
          <a:off x="20157279" y="1350171"/>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18</xdr:col>
      <xdr:colOff>28575</xdr:colOff>
      <xdr:row>5</xdr:row>
      <xdr:rowOff>19050</xdr:rowOff>
    </xdr:from>
    <xdr:to>
      <xdr:col>18</xdr:col>
      <xdr:colOff>347660</xdr:colOff>
      <xdr:row>11</xdr:row>
      <xdr:rowOff>28578</xdr:rowOff>
    </xdr:to>
    <xdr:sp macro="" textlink="">
      <xdr:nvSpPr>
        <xdr:cNvPr id="9" name="Pentagone 8">
          <a:extLst>
            <a:ext uri="{FF2B5EF4-FFF2-40B4-BE49-F238E27FC236}">
              <a16:creationId xmlns:a16="http://schemas.microsoft.com/office/drawing/2014/main" id="{00000000-0008-0000-0900-000009000000}"/>
            </a:ext>
          </a:extLst>
        </xdr:cNvPr>
        <xdr:cNvSpPr/>
      </xdr:nvSpPr>
      <xdr:spPr>
        <a:xfrm rot="5400000">
          <a:off x="20598604" y="1350171"/>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twoCellAnchor>
    <xdr:from>
      <xdr:col>19</xdr:col>
      <xdr:colOff>47625</xdr:colOff>
      <xdr:row>5</xdr:row>
      <xdr:rowOff>28575</xdr:rowOff>
    </xdr:from>
    <xdr:to>
      <xdr:col>19</xdr:col>
      <xdr:colOff>366710</xdr:colOff>
      <xdr:row>11</xdr:row>
      <xdr:rowOff>38103</xdr:rowOff>
    </xdr:to>
    <xdr:sp macro="" textlink="">
      <xdr:nvSpPr>
        <xdr:cNvPr id="10" name="Pentagone 9">
          <a:extLst>
            <a:ext uri="{FF2B5EF4-FFF2-40B4-BE49-F238E27FC236}">
              <a16:creationId xmlns:a16="http://schemas.microsoft.com/office/drawing/2014/main" id="{00000000-0008-0000-0900-00000A000000}"/>
            </a:ext>
          </a:extLst>
        </xdr:cNvPr>
        <xdr:cNvSpPr/>
      </xdr:nvSpPr>
      <xdr:spPr>
        <a:xfrm rot="5400000">
          <a:off x="21017704" y="1359696"/>
          <a:ext cx="504828" cy="319085"/>
        </a:xfrm>
        <a:prstGeom prst="homePlat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800" b="1" i="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209551</xdr:colOff>
      <xdr:row>7</xdr:row>
      <xdr:rowOff>152400</xdr:rowOff>
    </xdr:from>
    <xdr:to>
      <xdr:col>13</xdr:col>
      <xdr:colOff>857250</xdr:colOff>
      <xdr:row>31</xdr:row>
      <xdr:rowOff>142875</xdr:rowOff>
    </xdr:to>
    <xdr:graphicFrame macro="">
      <xdr:nvGraphicFramePr>
        <xdr:cNvPr id="2" name="Chart 3">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nas1\METRA\RENE\METRA\LA_SIDEL.EXP\TE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acylitiesmultiservices.sharepoint.com/personal/fatima_darazirar_fms-ea_com/Documents/Documents/Missions/Pilotage%20transverse/2019_Project%20follow%20up_POD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sheetNames>
    <definedNames>
      <definedName name="ok"/>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ckpit"/>
      <sheetName val="RM"/>
      <sheetName val="Amelio"/>
      <sheetName val="FESCOL"/>
      <sheetName val="FESCEL"/>
      <sheetName val="Kpi_roadmap"/>
      <sheetName val="Risk_Project"/>
      <sheetName val="RFP"/>
      <sheetName val="OTD"/>
      <sheetName val="OQD"/>
      <sheetName val="OBSclient"/>
      <sheetName val="OBSvsWBS"/>
      <sheetName val="Planning"/>
      <sheetName val="focus congés W18"/>
      <sheetName val="OBS"/>
      <sheetName val="OBS Graph"/>
      <sheetName val="DED"/>
      <sheetName val="MGT-Act"/>
      <sheetName val="Skills"/>
      <sheetName val="Trainings"/>
      <sheetName val="Logistic"/>
      <sheetName val="IT &amp; T"/>
      <sheetName val="Liste des risques pris en compt"/>
      <sheetName val="temp"/>
      <sheetName val="Suivi Travel"/>
      <sheetName val="suivi BL"/>
      <sheetName val="BL ALL WP"/>
      <sheetName val="suivi general"/>
      <sheetName val="ALL WP"/>
      <sheetName val="Pré-série"/>
      <sheetName val="Casting Forging"/>
      <sheetName val="WPToW"/>
      <sheetName val="WP350"/>
      <sheetName val="Feuil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PINSOLLE" refreshedDate="46324.586170254632" createdVersion="7" refreshedVersion="8" minRefreshableVersion="3" recordCount="36" xr:uid="{83EA543D-8A1D-4803-A8A9-B4C8AF9D0DBF}">
  <cacheSource type="worksheet">
    <worksheetSource name="Tableau3"/>
  </cacheSource>
  <cacheFields count="19">
    <cacheField name="ID_Risque (R+Chrono)" numFmtId="0">
      <sharedItems containsBlank="1" count="13">
        <s v="R001"/>
        <s v="R002"/>
        <s v="R003"/>
        <s v="R004"/>
        <s v="R005"/>
        <s v="R006"/>
        <m/>
        <s v="R007" u="1"/>
        <s v="R008" u="1"/>
        <s v="R011" u="1"/>
        <s v="R014" u="1"/>
        <s v="R015" u="1"/>
        <s v="R016" u="1"/>
      </sharedItems>
    </cacheField>
    <cacheField name="Périmètre" numFmtId="0">
      <sharedItems containsBlank="1" count="34">
        <s v="Projet &quot;Green-IT&quot;"/>
        <m/>
        <s v="Projet A" u="1"/>
        <s v="Projet B" u="1"/>
        <s v="Projet C" u="1"/>
        <s v="Projet D" u="1"/>
        <s v="Projet E" u="1"/>
        <s v="Projet XXXX" u="1"/>
        <s v="Projet H" u="1"/>
        <s v="Projet XXX" u="1"/>
        <s v="Support CAPBP Talend" u="1"/>
        <s v="Projet CD87 DWH" u="1"/>
        <s v="Projet Finance" u="1"/>
        <s v="Projet G" u="1"/>
        <s v="Projet ARGOS" u="1"/>
        <s v="Projet L" u="1"/>
        <s v="LurBerri" u="1"/>
        <s v="Projet Djibouti" u="1"/>
        <s v="Projet F" u="1"/>
        <s v="Projet K" u="1"/>
        <s v="Documents Teams Visioneo" u="1"/>
        <s v="Projet Labeyrie" u="1"/>
        <s v="TMA SICAME" u="1"/>
        <s v="ARGOS" u="1"/>
        <s v="Projet CAPBP Power BI" u="1"/>
        <s v="Projet J" u="1"/>
        <s v="SICAME" u="1"/>
        <s v="Projet LurBerri" u="1"/>
        <s v="TMA CAPBP Talend" u="1"/>
        <s v="Fin adresses Gmail" u="1"/>
        <s v="Projet I" u="1"/>
        <s v="Projet Finances" u="1"/>
        <s v="NAS Visioneo" u="1"/>
        <s v="Projet SAFRAN" u="1"/>
      </sharedItems>
    </cacheField>
    <cacheField name="Date de création _x000a_du risque" numFmtId="14">
      <sharedItems containsNonDate="0" containsDate="1" containsString="0" containsBlank="1" minDate="2026-09-01T00:00:00" maxDate="2026-11-11T00:00:00" count="6">
        <d v="2026-09-13T00:00:00"/>
        <d v="2026-09-01T00:00:00"/>
        <d v="2026-10-05T00:00:00"/>
        <d v="2026-11-10T00:00:00"/>
        <d v="2026-09-03T00:00:00"/>
        <m/>
      </sharedItems>
      <fieldGroup par="18" base="2">
        <rangePr groupBy="days" startDate="2026-09-01T00:00:00" endDate="2026-11-11T00:00:00"/>
        <groupItems count="368">
          <s v="(vide)"/>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11/11/2026"/>
        </groupItems>
      </fieldGroup>
    </cacheField>
    <cacheField name="Visibilité _x000a_ROP" numFmtId="0">
      <sharedItems containsNonDate="0" containsString="0" containsBlank="1"/>
    </cacheField>
    <cacheField name="Nbre de salariés impactés" numFmtId="0">
      <sharedItems containsNonDate="0" containsString="0" containsBlank="1"/>
    </cacheField>
    <cacheField name="Catégorie" numFmtId="0">
      <sharedItems containsBlank="1" count="6">
        <s v="Organisation"/>
        <s v="Qualité"/>
        <s v="Commercial"/>
        <s v="Technique"/>
        <m/>
        <s v="Ressources Humaines" u="1"/>
      </sharedItems>
    </cacheField>
    <cacheField name="Description" numFmtId="0">
      <sharedItems containsBlank="1"/>
    </cacheField>
    <cacheField name="Impact potentiel sur le service" numFmtId="0">
      <sharedItems containsBlank="1"/>
    </cacheField>
    <cacheField name="Probabilité / Occurrence" numFmtId="0">
      <sharedItems containsBlank="1"/>
    </cacheField>
    <cacheField name="Gravité" numFmtId="0">
      <sharedItems containsBlank="1" count="5">
        <s v="Forte"/>
        <s v="Moyenne"/>
        <m/>
        <s v="Très forte" u="1"/>
        <s v="Faible" u="1"/>
      </sharedItems>
    </cacheField>
    <cacheField name="Criticité" numFmtId="166">
      <sharedItems containsBlank="1" count="6">
        <s v="Forte"/>
        <s v="Faible"/>
        <s v="Moyenne"/>
        <m/>
        <s v="Très forte" u="1"/>
        <s v="" u="1"/>
      </sharedItems>
    </cacheField>
    <cacheField name="Actions" numFmtId="0">
      <sharedItems containsBlank="1"/>
    </cacheField>
    <cacheField name="Responsable _x000a_de l'action" numFmtId="0">
      <sharedItems containsBlank="1"/>
    </cacheField>
    <cacheField name="Date cible" numFmtId="14">
      <sharedItems containsNonDate="0" containsDate="1" containsString="0" containsBlank="1" minDate="2026-09-15T00:00:00" maxDate="2026-11-24T00:00:00"/>
    </cacheField>
    <cacheField name="Statut des actions liées au risque" numFmtId="14">
      <sharedItems containsBlank="1"/>
    </cacheField>
    <cacheField name="Date de clôture" numFmtId="0">
      <sharedItems containsNonDate="0" containsString="0" containsBlank="1"/>
    </cacheField>
    <cacheField name="Efficacité action (en %)" numFmtId="9">
      <sharedItems containsNonDate="0" containsString="0" containsBlank="1"/>
    </cacheField>
    <cacheField name="Commentaires" numFmtId="0">
      <sharedItems containsNonDate="0" containsString="0" containsBlank="1"/>
    </cacheField>
    <cacheField name="Mois" numFmtId="0" databaseField="0">
      <fieldGroup base="2">
        <rangePr groupBy="months" startDate="2026-09-01T00:00:00" endDate="2026-11-11T00:00:00"/>
        <groupItems count="14">
          <s v="&lt;01/09/2026"/>
          <s v="janv"/>
          <s v="févr"/>
          <s v="mars"/>
          <s v="avr"/>
          <s v="mai"/>
          <s v="juin"/>
          <s v="juil"/>
          <s v="août"/>
          <s v="sept"/>
          <s v="oct"/>
          <s v="nov"/>
          <s v="déc"/>
          <s v="&gt;11/11/2026"/>
        </groupItems>
      </fieldGroup>
    </cacheField>
  </cacheFields>
  <extLst>
    <ext xmlns:x14="http://schemas.microsoft.com/office/spreadsheetml/2009/9/main" uri="{725AE2AE-9491-48be-B2B4-4EB974FC3084}">
      <x14:pivotCacheDefinition pivotCacheId="18694851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x v="0"/>
    <m/>
    <m/>
    <x v="0"/>
    <s v="Surcharge de travail des développeurs"/>
    <s v="Retard de livraison, baisse de qualité"/>
    <s v="Forte"/>
    <x v="0"/>
    <x v="0"/>
    <s v="Répartir la charge entre Sarah et Tom"/>
    <s v="Alexandre Vasseur"/>
    <d v="2026-11-12T00:00:00"/>
    <s v="Open"/>
    <m/>
    <m/>
    <m/>
  </r>
  <r>
    <x v="1"/>
    <x v="0"/>
    <x v="1"/>
    <m/>
    <m/>
    <x v="1"/>
    <s v="Erreur de calcul carbone : résultats peu fiables"/>
    <s v="Perte de crédibilité et risque de non-conformité"/>
    <s v="Faible"/>
    <x v="1"/>
    <x v="1"/>
    <s v="Vérifier l'algorithme avec Ines,documenter et tester les résultats"/>
    <s v="Ines"/>
    <d v="2026-09-15T00:00:00"/>
    <s v="Open"/>
    <m/>
    <m/>
    <m/>
  </r>
  <r>
    <x v="2"/>
    <x v="0"/>
    <x v="0"/>
    <m/>
    <m/>
    <x v="2"/>
    <s v="Dépassement du budget"/>
    <s v="Dépassement du plafond et réduction du périmètre du MVP"/>
    <s v="Moyenne"/>
    <x v="0"/>
    <x v="2"/>
    <s v="Suivre les dépenses et le reste à faire chaque semaine. Alerter si besoin"/>
    <s v="Alexandre Vasseur"/>
    <d v="2026-09-15T00:00:00"/>
    <s v="Open"/>
    <m/>
    <m/>
    <m/>
  </r>
  <r>
    <x v="3"/>
    <x v="0"/>
    <x v="2"/>
    <m/>
    <m/>
    <x v="3"/>
    <s v="Retard du développement du MVP"/>
    <s v="Plateforme incomplète ou indisponible pour le salon Tech Verte"/>
    <s v="Moyenne"/>
    <x v="0"/>
    <x v="2"/>
    <s v="Identifier les fonctionnalités prioritaires, prévoir une marge pour les corrections"/>
    <s v="Sarah"/>
    <d v="2026-11-10T00:00:00"/>
    <s v="Open"/>
    <m/>
    <m/>
    <m/>
  </r>
  <r>
    <x v="4"/>
    <x v="0"/>
    <x v="3"/>
    <m/>
    <m/>
    <x v="3"/>
    <s v="Problème de performance de l'infrastructure Cloud"/>
    <s v="Ralentissements ou indisponibilité de la plateforme lors d'une forte utilisation"/>
    <s v="Moyenne"/>
    <x v="0"/>
    <x v="2"/>
    <s v="Réaliser des tests de disponibilité et de fonctionnement, prévoir une solution de repli"/>
    <s v="Marc"/>
    <d v="2026-11-23T00:00:00"/>
    <s v="Open"/>
    <m/>
    <m/>
    <m/>
  </r>
  <r>
    <x v="5"/>
    <x v="0"/>
    <x v="4"/>
    <m/>
    <m/>
    <x v="2"/>
    <s v="Non-conformité des rapports environnementaux"/>
    <s v="Contestation des résultats, perte de confiance et nécessité de corriger les rapports"/>
    <s v="Moyenne"/>
    <x v="1"/>
    <x v="2"/>
    <s v="Faire vérifier les rapports par une personne compétente en réglementation"/>
    <s v="Alexandre Vasseur"/>
    <d v="2026-11-20T00:00:00"/>
    <s v="Open"/>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r>
    <x v="6"/>
    <x v="1"/>
    <x v="5"/>
    <m/>
    <m/>
    <x v="4"/>
    <m/>
    <m/>
    <m/>
    <x v="2"/>
    <x v="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7756E5-0097-4B26-8C22-90514271E70D}" name="Tableau croisé dynamique1" cacheId="0" applyNumberFormats="0" applyBorderFormats="0" applyFontFormats="0" applyPatternFormats="0" applyAlignmentFormats="0" applyWidthHeightFormats="1" dataCaption="Valeurs" updatedVersion="8" minRefreshableVersion="3" itemPrintTitles="1" createdVersion="8" indent="0" outline="1" outlineData="1" multipleFieldFilters="0" chartFormat="10">
  <location ref="A5:D11" firstHeaderRow="1" firstDataRow="2" firstDataCol="1"/>
  <pivotFields count="19">
    <pivotField dataField="1" showAll="0"/>
    <pivotField showAll="0"/>
    <pivotField showAll="0"/>
    <pivotField showAll="0"/>
    <pivotField showAll="0"/>
    <pivotField axis="axisRow" showAll="0">
      <items count="7">
        <item x="2"/>
        <item x="1"/>
        <item m="1" x="5"/>
        <item x="3"/>
        <item x="4"/>
        <item x="0"/>
        <item t="default"/>
      </items>
    </pivotField>
    <pivotField showAll="0"/>
    <pivotField showAll="0"/>
    <pivotField showAll="0"/>
    <pivotField axis="axisCol" showAll="0">
      <items count="6">
        <item m="1" x="4"/>
        <item x="0"/>
        <item x="1"/>
        <item m="1" x="3"/>
        <item h="1" x="2"/>
        <item t="default"/>
      </items>
    </pivotField>
    <pivotField showAll="0"/>
    <pivotField showAll="0"/>
    <pivotField showAll="0"/>
    <pivotField showAll="0"/>
    <pivotField showAll="0"/>
    <pivotField showAll="0"/>
    <pivotField showAll="0"/>
    <pivotField showAll="0"/>
    <pivotField showAll="0" defaultSubtotal="0"/>
  </pivotFields>
  <rowFields count="1">
    <field x="5"/>
  </rowFields>
  <rowItems count="5">
    <i>
      <x/>
    </i>
    <i>
      <x v="1"/>
    </i>
    <i>
      <x v="3"/>
    </i>
    <i>
      <x v="5"/>
    </i>
    <i t="grand">
      <x/>
    </i>
  </rowItems>
  <colFields count="1">
    <field x="9"/>
  </colFields>
  <colItems count="3">
    <i>
      <x v="1"/>
    </i>
    <i>
      <x v="2"/>
    </i>
    <i t="grand">
      <x/>
    </i>
  </colItems>
  <dataFields count="1">
    <dataField name="Nombre de ID_Risque (R+Chrono)" fld="0" subtotal="count" baseField="5" baseItem="2"/>
  </dataFields>
  <chartFormats count="3">
    <chartFormat chart="2" format="0" series="1">
      <pivotArea type="data" outline="0" fieldPosition="0">
        <references count="2">
          <reference field="4294967294" count="1" selected="0">
            <x v="0"/>
          </reference>
          <reference field="9" count="1" selected="0">
            <x v="1"/>
          </reference>
        </references>
      </pivotArea>
    </chartFormat>
    <chartFormat chart="2" format="1" series="1">
      <pivotArea type="data" outline="0" fieldPosition="0">
        <references count="2">
          <reference field="4294967294" count="1" selected="0">
            <x v="0"/>
          </reference>
          <reference field="9" count="1" selected="0">
            <x v="4"/>
          </reference>
        </references>
      </pivotArea>
    </chartFormat>
    <chartFormat chart="2"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6EABB0-D986-4D1D-8BBE-6DCA42C39CE8}" name="Tableau croisé dynamique3" cacheId="0" applyNumberFormats="0" applyBorderFormats="0" applyFontFormats="0" applyPatternFormats="0" applyAlignmentFormats="0" applyWidthHeightFormats="1" dataCaption="Valeurs" updatedVersion="8" minRefreshableVersion="3" useAutoFormatting="1" itemPrintTitles="1" createdVersion="7" indent="0" outline="1" outlineData="1" multipleFieldFilters="0" chartFormat="12">
  <location ref="A53:E58" firstHeaderRow="1" firstDataRow="2" firstDataCol="1" rowPageCount="1" colPageCount="1"/>
  <pivotFields count="19">
    <pivotField axis="axisPage" dataField="1" multipleItemSelectionAllowed="1" showAll="0" sumSubtotal="1">
      <items count="14">
        <item x="0"/>
        <item x="2"/>
        <item x="3"/>
        <item x="4"/>
        <item x="5"/>
        <item m="1" x="7"/>
        <item m="1" x="8"/>
        <item m="1" x="9"/>
        <item m="1" x="10"/>
        <item m="1" x="11"/>
        <item m="1" x="12"/>
        <item h="1" x="6"/>
        <item x="1"/>
        <item t="sum"/>
      </items>
    </pivotField>
    <pivotField showAll="0"/>
    <pivotField name="Date de création " multipleItemSelectionAllowed="1" showAll="0" avgSubtotal="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avg"/>
      </items>
    </pivotField>
    <pivotField showAll="0"/>
    <pivotField showAll="0"/>
    <pivotField showAll="0"/>
    <pivotField showAll="0"/>
    <pivotField showAll="0"/>
    <pivotField showAll="0"/>
    <pivotField showAll="0"/>
    <pivotField axis="axisCol" showAll="0">
      <items count="7">
        <item m="1" x="4"/>
        <item x="0"/>
        <item x="2"/>
        <item x="1"/>
        <item h="1" m="1" x="5"/>
        <item h="1" x="3"/>
        <item t="default"/>
      </items>
    </pivotField>
    <pivotField showAll="0"/>
    <pivotField showAll="0"/>
    <pivotField showAll="0"/>
    <pivotField showAll="0"/>
    <pivotField showAll="0"/>
    <pivotField showAll="0"/>
    <pivotField showAll="0"/>
    <pivotField axis="axisRow" numFmtId="2" showAll="0" countASubtotal="1">
      <items count="15">
        <item sd="0" x="0"/>
        <item sd="0" x="1"/>
        <item sd="0" x="2"/>
        <item sd="0" x="3"/>
        <item x="4"/>
        <item sd="0" x="5"/>
        <item sd="0" x="6"/>
        <item sd="0" x="7"/>
        <item sd="0" x="8"/>
        <item sd="0" x="9"/>
        <item sd="0" x="10"/>
        <item sd="0" x="11"/>
        <item sd="0" x="12"/>
        <item sd="0" x="13"/>
        <item t="countA"/>
      </items>
    </pivotField>
  </pivotFields>
  <rowFields count="1">
    <field x="18"/>
  </rowFields>
  <rowItems count="4">
    <i>
      <x v="9"/>
    </i>
    <i>
      <x v="10"/>
    </i>
    <i>
      <x v="11"/>
    </i>
    <i t="grand">
      <x/>
    </i>
  </rowItems>
  <colFields count="1">
    <field x="10"/>
  </colFields>
  <colItems count="4">
    <i>
      <x v="1"/>
    </i>
    <i>
      <x v="2"/>
    </i>
    <i>
      <x v="3"/>
    </i>
    <i t="grand">
      <x/>
    </i>
  </colItems>
  <pageFields count="1">
    <pageField fld="0" hier="-1"/>
  </pageFields>
  <dataFields count="1">
    <dataField name="Nombre de ID_Risque (R+Chrono)" fld="0" subtotal="count" baseField="0" baseItem="0"/>
  </dataFields>
  <chartFormats count="11">
    <chartFormat chart="3" format="52" series="1">
      <pivotArea type="data" outline="0" fieldPosition="0">
        <references count="1">
          <reference field="10" count="1" selected="0">
            <x v="3"/>
          </reference>
        </references>
      </pivotArea>
    </chartFormat>
    <chartFormat chart="3" format="53" series="1">
      <pivotArea type="data" outline="0" fieldPosition="0">
        <references count="1">
          <reference field="10" count="1" selected="0">
            <x v="1"/>
          </reference>
        </references>
      </pivotArea>
    </chartFormat>
    <chartFormat chart="3" format="54" series="1">
      <pivotArea type="data" outline="0" fieldPosition="0">
        <references count="1">
          <reference field="10" count="1" selected="0">
            <x v="2"/>
          </reference>
        </references>
      </pivotArea>
    </chartFormat>
    <chartFormat chart="3" format="55" series="1">
      <pivotArea type="data" outline="0" fieldPosition="0">
        <references count="1">
          <reference field="10" count="1" selected="0">
            <x v="0"/>
          </reference>
        </references>
      </pivotArea>
    </chartFormat>
    <chartFormat chart="3" format="66" series="1">
      <pivotArea type="data" outline="0" fieldPosition="0">
        <references count="2">
          <reference field="4294967294" count="1" selected="0">
            <x v="0"/>
          </reference>
          <reference field="10" count="1" selected="0">
            <x v="2"/>
          </reference>
        </references>
      </pivotArea>
    </chartFormat>
    <chartFormat chart="3" format="68" series="1">
      <pivotArea type="data" outline="0" fieldPosition="0">
        <references count="2">
          <reference field="4294967294" count="1" selected="0">
            <x v="0"/>
          </reference>
          <reference field="10" count="1" selected="0">
            <x v="3"/>
          </reference>
        </references>
      </pivotArea>
    </chartFormat>
    <chartFormat chart="3" format="71" series="1">
      <pivotArea type="data" outline="0" fieldPosition="0">
        <references count="2">
          <reference field="4294967294" count="1" selected="0">
            <x v="0"/>
          </reference>
          <reference field="10" count="1" selected="0">
            <x v="0"/>
          </reference>
        </references>
      </pivotArea>
    </chartFormat>
    <chartFormat chart="3" format="72" series="1">
      <pivotArea type="data" outline="0" fieldPosition="0">
        <references count="2">
          <reference field="4294967294" count="1" selected="0">
            <x v="0"/>
          </reference>
          <reference field="10" count="1" selected="0">
            <x v="1"/>
          </reference>
        </references>
      </pivotArea>
    </chartFormat>
    <chartFormat chart="11" format="0" series="1">
      <pivotArea type="data" outline="0" fieldPosition="0">
        <references count="2">
          <reference field="4294967294" count="1" selected="0">
            <x v="0"/>
          </reference>
          <reference field="10" count="1" selected="0">
            <x v="1"/>
          </reference>
        </references>
      </pivotArea>
    </chartFormat>
    <chartFormat chart="11" format="1" series="1">
      <pivotArea type="data" outline="0" fieldPosition="0">
        <references count="2">
          <reference field="4294967294" count="1" selected="0">
            <x v="0"/>
          </reference>
          <reference field="10" count="1" selected="0">
            <x v="2"/>
          </reference>
        </references>
      </pivotArea>
    </chartFormat>
    <chartFormat chart="11" format="2"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BDCD88-1FEF-402A-B067-BBD6F053C89C}" name="Tableau croisé dynamique2" cacheId="0" applyNumberFormats="0" applyBorderFormats="0" applyFontFormats="0" applyPatternFormats="0" applyAlignmentFormats="0" applyWidthHeightFormats="1" dataCaption="Valeurs" updatedVersion="8" minRefreshableVersion="3" useAutoFormatting="1" itemPrintTitles="1" createdVersion="7" indent="0" compact="0" compactData="0" gridDropZones="1" multipleFieldFilters="0" chartFormat="24">
  <location ref="A28:E31" firstHeaderRow="1" firstDataRow="2" firstDataCol="1"/>
  <pivotFields count="19">
    <pivotField compact="0" outline="0" showAll="0"/>
    <pivotField axis="axisRow" compact="0" outline="0" showAll="0" sortType="descending">
      <items count="35">
        <item x="1"/>
        <item m="1" x="22"/>
        <item m="1" x="28"/>
        <item m="1" x="10"/>
        <item m="1" x="26"/>
        <item m="1" x="7"/>
        <item m="1" x="9"/>
        <item m="1" x="33"/>
        <item m="1" x="27"/>
        <item m="1" x="21"/>
        <item m="1" x="15"/>
        <item m="1" x="19"/>
        <item m="1" x="25"/>
        <item m="1" x="30"/>
        <item m="1" x="8"/>
        <item m="1" x="13"/>
        <item m="1" x="31"/>
        <item m="1" x="12"/>
        <item m="1" x="18"/>
        <item m="1" x="6"/>
        <item m="1" x="17"/>
        <item m="1" x="5"/>
        <item m="1" x="11"/>
        <item m="1" x="24"/>
        <item m="1" x="4"/>
        <item m="1" x="3"/>
        <item m="1" x="14"/>
        <item m="1" x="2"/>
        <item x="0"/>
        <item m="1" x="32"/>
        <item m="1" x="16"/>
        <item m="1" x="29"/>
        <item m="1" x="20"/>
        <item m="1" x="23"/>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Col" compact="0" outline="0" showAll="0">
      <items count="7">
        <item h="1" m="1" x="5"/>
        <item x="1"/>
        <item x="2"/>
        <item x="0"/>
        <item m="1" x="4"/>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1">
    <field x="1"/>
  </rowFields>
  <rowItems count="2">
    <i>
      <x v="28"/>
    </i>
    <i t="grand">
      <x/>
    </i>
  </rowItems>
  <colFields count="1">
    <field x="10"/>
  </colFields>
  <colItems count="4">
    <i>
      <x v="1"/>
    </i>
    <i>
      <x v="2"/>
    </i>
    <i>
      <x v="3"/>
    </i>
    <i t="grand">
      <x/>
    </i>
  </colItems>
  <dataFields count="1">
    <dataField name="Nombre de Catégorie" fld="5" subtotal="count" baseField="0" baseItem="0"/>
  </dataFields>
  <chartFormats count="11">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4" format="3" series="1">
      <pivotArea type="data" outline="0" fieldPosition="0">
        <references count="2">
          <reference field="4294967294" count="1" selected="0">
            <x v="0"/>
          </reference>
          <reference field="10" count="1" selected="0">
            <x v="3"/>
          </reference>
        </references>
      </pivotArea>
    </chartFormat>
    <chartFormat chart="4" format="4" series="1">
      <pivotArea type="data" outline="0" fieldPosition="0">
        <references count="2">
          <reference field="4294967294" count="1" selected="0">
            <x v="0"/>
          </reference>
          <reference field="10" count="1" selected="0">
            <x v="4"/>
          </reference>
        </references>
      </pivotArea>
    </chartFormat>
    <chartFormat chart="13" format="0" series="1">
      <pivotArea type="data" outline="0" fieldPosition="0">
        <references count="2">
          <reference field="4294967294" count="1" selected="0">
            <x v="0"/>
          </reference>
          <reference field="10" count="1" selected="0">
            <x v="1"/>
          </reference>
        </references>
      </pivotArea>
    </chartFormat>
    <chartFormat chart="13" format="1" series="1">
      <pivotArea type="data" outline="0" fieldPosition="0">
        <references count="2">
          <reference field="4294967294" count="1" selected="0">
            <x v="0"/>
          </reference>
          <reference field="10" count="1" selected="0">
            <x v="2"/>
          </reference>
        </references>
      </pivotArea>
    </chartFormat>
    <chartFormat chart="13" format="2" series="1">
      <pivotArea type="data" outline="0" fieldPosition="0">
        <references count="2">
          <reference field="4294967294" count="1" selected="0">
            <x v="0"/>
          </reference>
          <reference field="10" count="1" selected="0">
            <x v="3"/>
          </reference>
        </references>
      </pivotArea>
    </chartFormat>
    <chartFormat chart="13" format="3">
      <pivotArea type="data" outline="0" fieldPosition="0">
        <references count="3">
          <reference field="4294967294" count="1" selected="0">
            <x v="0"/>
          </reference>
          <reference field="1" count="1" selected="0">
            <x v="28"/>
          </reference>
          <reference field="10" count="1" selected="0">
            <x v="3"/>
          </reference>
        </references>
      </pivotArea>
    </chartFormat>
    <chartFormat chart="13" format="4">
      <pivotArea type="data" outline="0" fieldPosition="0">
        <references count="3">
          <reference field="4294967294" count="1" selected="0">
            <x v="0"/>
          </reference>
          <reference field="1" count="1" selected="0">
            <x v="28"/>
          </reference>
          <reference field="10" count="1" selected="0">
            <x v="2"/>
          </reference>
        </references>
      </pivotArea>
    </chartFormat>
    <chartFormat chart="13" format="5">
      <pivotArea type="data" outline="0" fieldPosition="0">
        <references count="3">
          <reference field="4294967294" count="1" selected="0">
            <x v="0"/>
          </reference>
          <reference field="1" count="1" selected="0">
            <x v="28"/>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726336-8AEA-4B4C-B43D-69D93FF41FE0}" name="Tableau3" displayName="Tableau3" ref="A9:R45" totalsRowShown="0" headerRowDxfId="75" dataDxfId="73" headerRowBorderDxfId="74" tableBorderDxfId="72" headerRowCellStyle="Neutre">
  <autoFilter ref="A9:R45" xr:uid="{FC726336-8AEA-4B4C-B43D-69D93FF41FE0}">
    <filterColumn colId="0">
      <customFilters>
        <customFilter operator="notEqual" val=" "/>
      </customFilters>
    </filterColumn>
  </autoFilter>
  <tableColumns count="18">
    <tableColumn id="10" xr3:uid="{165DB7FE-9C94-4FA7-81DF-EBCF337CEA1E}" name="ID_Risque (R+Chrono)" dataDxfId="71"/>
    <tableColumn id="1" xr3:uid="{4FE2DDEF-5084-48BC-B02C-D0177994BA72}" name="Périmètre" dataDxfId="70"/>
    <tableColumn id="11" xr3:uid="{8C3124A0-3CA6-4BC4-880C-DCD7ADF1EEA4}" name="Date de création _x000a_du risque" dataDxfId="69"/>
    <tableColumn id="15" xr3:uid="{71907B86-6931-4998-8A83-E37CBC60464A}" name="Visibilité _x000a_ROP" dataDxfId="68"/>
    <tableColumn id="12" xr3:uid="{4CC72B42-0AFC-4476-AD37-B03038B9C28D}" name="Nbre de salariés impactés" dataDxfId="67"/>
    <tableColumn id="2" xr3:uid="{2D56747A-9D1B-462C-A2EE-279BC6864A89}" name="Catégorie" dataDxfId="66"/>
    <tableColumn id="3" xr3:uid="{803011FA-5619-4829-9E05-EF9FC7920E63}" name="Description" dataDxfId="65"/>
    <tableColumn id="14" xr3:uid="{3BB5FDF8-B521-4425-8CF9-650C3030D69F}" name="Impact potentiel sur le service" dataDxfId="64"/>
    <tableColumn id="16" xr3:uid="{346AE0EE-3C21-4C3B-B234-AD2E98BBE74C}" name="Probabilité / Occurrence" dataDxfId="63"/>
    <tableColumn id="17" xr3:uid="{96B33C9D-7A74-4D61-8ED7-DFFE04CB7F36}" name="Gravité" dataDxfId="62"/>
    <tableColumn id="4" xr3:uid="{F6D3AC3E-BB42-4B88-98A9-B1E238EFE2B1}" name="Criticité" dataDxfId="61">
      <calculatedColumnFormula>(IF(Tableau3[[#This Row],[Probabilité / Occurrence]]="","",VLOOKUP((VLOOKUP(Tableau3[[#This Row],[Probabilité / Occurrence]],$T$10:$U$19,2,FALSE)*(VLOOKUP(Tableau3[[#This Row],[Gravité]],$V$10:$W$19,2,FALSE))),$X$9:$Y$29,2,FALSE)))</calculatedColumnFormula>
    </tableColumn>
    <tableColumn id="5" xr3:uid="{9380EEE2-0F3E-4269-B675-721EA97EECAF}" name="Actions" dataDxfId="60"/>
    <tableColumn id="6" xr3:uid="{16C1012E-8025-4C5E-AB69-32D6965BE1FD}" name="Responsable _x000a_de l'action" dataDxfId="59"/>
    <tableColumn id="7" xr3:uid="{8485DD17-D3A5-4E6E-9AC4-89B69E519BB0}" name="Date cible" dataDxfId="58"/>
    <tableColumn id="18" xr3:uid="{9A37FACA-DEDA-4085-B030-5EBB728E975F}" name="Statut des actions liées au risque" dataDxfId="57"/>
    <tableColumn id="8" xr3:uid="{192DD6D9-AA74-4078-9065-AD510B106BFD}" name="Date de clôture" dataDxfId="56"/>
    <tableColumn id="13" xr3:uid="{01C3992B-5BEC-4C86-B1BE-1B202BA06821}" name="Efficacité action (en %)" dataDxfId="55"/>
    <tableColumn id="9" xr3:uid="{EE516A05-F8BF-4406-A34F-1F37A76D7494}" name="Commentaires" dataDxfId="54"/>
  </tableColumns>
  <tableStyleInfo name="TableStyleLight4"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6.vml"/><Relationship Id="rId5" Type="http://schemas.openxmlformats.org/officeDocument/2006/relationships/drawing" Target="../drawings/drawing4.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6.xml"/><Relationship Id="rId1" Type="http://schemas.openxmlformats.org/officeDocument/2006/relationships/printerSettings" Target="../printerSettings/printerSettings8.bin"/><Relationship Id="rId5" Type="http://schemas.openxmlformats.org/officeDocument/2006/relationships/comments" Target="../comments2.xml"/><Relationship Id="rId4" Type="http://schemas.openxmlformats.org/officeDocument/2006/relationships/vmlDrawing" Target="../drawings/vmlDrawing10.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19A0-D131-4F30-9AC6-29A4F55BF3FE}">
  <sheetPr>
    <tabColor theme="7" tint="0.79998168889431442"/>
  </sheetPr>
  <dimension ref="A1:L122"/>
  <sheetViews>
    <sheetView showGridLines="0" view="pageLayout" topLeftCell="A101" zoomScaleNormal="90" zoomScaleSheetLayoutView="40" workbookViewId="0">
      <selection activeCell="C55" sqref="C55"/>
    </sheetView>
  </sheetViews>
  <sheetFormatPr baseColWidth="10" defaultColWidth="15.85546875" defaultRowHeight="14.25" x14ac:dyDescent="0.3"/>
  <cols>
    <col min="1" max="1" width="2.7109375" style="213" customWidth="1"/>
    <col min="2" max="2" width="4.28515625" style="213" customWidth="1"/>
    <col min="3" max="3" width="18.28515625" style="213" customWidth="1"/>
    <col min="4" max="5" width="19.42578125" style="213" customWidth="1"/>
    <col min="6" max="10" width="20.7109375" style="213" customWidth="1"/>
    <col min="11" max="11" width="4.28515625" style="213" customWidth="1"/>
    <col min="12" max="12" width="2.85546875" style="213" customWidth="1"/>
    <col min="13" max="16384" width="15.85546875" style="213"/>
  </cols>
  <sheetData>
    <row r="1" spans="1:12" s="216" customFormat="1" ht="25.5" customHeight="1" x14ac:dyDescent="0.4">
      <c r="A1" s="401"/>
      <c r="B1" s="517" t="s">
        <v>0</v>
      </c>
      <c r="C1" s="517"/>
      <c r="D1" s="517"/>
      <c r="E1" s="517"/>
      <c r="F1" s="517"/>
      <c r="G1" s="517"/>
      <c r="H1" s="517"/>
      <c r="I1" s="517"/>
      <c r="J1" s="402"/>
      <c r="K1" s="403"/>
      <c r="L1" s="404"/>
    </row>
    <row r="2" spans="1:12" ht="18" x14ac:dyDescent="0.35">
      <c r="A2" s="211"/>
      <c r="B2" s="518"/>
      <c r="C2" s="518"/>
      <c r="D2" s="518"/>
      <c r="E2" s="518"/>
      <c r="F2" s="518"/>
      <c r="G2" s="518"/>
      <c r="H2" s="518"/>
      <c r="I2" s="518"/>
      <c r="J2" s="391"/>
      <c r="K2" s="391"/>
      <c r="L2" s="212"/>
    </row>
    <row r="3" spans="1:12" ht="18" customHeight="1" x14ac:dyDescent="0.4">
      <c r="A3" s="211"/>
      <c r="B3" s="516" t="s">
        <v>1</v>
      </c>
      <c r="C3" s="516"/>
      <c r="D3" s="443"/>
      <c r="E3" s="443"/>
      <c r="F3" s="443"/>
      <c r="G3" s="443"/>
      <c r="H3" s="443"/>
      <c r="I3" s="397"/>
      <c r="J3" s="397"/>
      <c r="K3" s="397"/>
      <c r="L3" s="212"/>
    </row>
    <row r="4" spans="1:12" ht="18" customHeight="1" x14ac:dyDescent="0.3">
      <c r="A4" s="211"/>
      <c r="B4" s="218"/>
      <c r="C4" s="408" t="s">
        <v>2</v>
      </c>
      <c r="D4" s="418"/>
      <c r="E4" s="418"/>
      <c r="F4" s="418"/>
      <c r="G4" s="418"/>
      <c r="H4" s="418"/>
      <c r="I4" s="397"/>
      <c r="J4" s="397"/>
      <c r="K4" s="397"/>
      <c r="L4" s="212"/>
    </row>
    <row r="5" spans="1:12" ht="18" customHeight="1" x14ac:dyDescent="0.3">
      <c r="A5" s="211"/>
      <c r="B5" s="218"/>
      <c r="C5" s="437" t="s">
        <v>3</v>
      </c>
      <c r="D5" s="435"/>
      <c r="E5" s="418"/>
      <c r="F5" s="418"/>
      <c r="G5" s="418"/>
      <c r="H5" s="418"/>
      <c r="I5" s="397"/>
      <c r="J5" s="397"/>
      <c r="K5" s="397"/>
      <c r="L5" s="212"/>
    </row>
    <row r="6" spans="1:12" ht="18" customHeight="1" x14ac:dyDescent="0.3">
      <c r="A6" s="211"/>
      <c r="B6" s="218"/>
      <c r="C6" s="438" t="s">
        <v>4</v>
      </c>
      <c r="D6" s="436"/>
      <c r="E6" s="418"/>
      <c r="F6" s="418"/>
      <c r="G6" s="418"/>
      <c r="H6" s="418"/>
      <c r="I6" s="397"/>
      <c r="J6" s="397"/>
      <c r="K6" s="397"/>
      <c r="L6" s="212"/>
    </row>
    <row r="7" spans="1:12" ht="18" customHeight="1" x14ac:dyDescent="0.3">
      <c r="A7" s="211"/>
      <c r="B7" s="218"/>
      <c r="C7" s="408"/>
      <c r="D7" s="418"/>
      <c r="E7" s="418"/>
      <c r="F7" s="418"/>
      <c r="G7" s="418"/>
      <c r="H7" s="418"/>
      <c r="I7" s="397"/>
      <c r="J7" s="397"/>
      <c r="K7" s="397"/>
      <c r="L7" s="212"/>
    </row>
    <row r="8" spans="1:12" ht="18" customHeight="1" x14ac:dyDescent="0.35">
      <c r="A8" s="211"/>
      <c r="B8" s="516" t="s">
        <v>5</v>
      </c>
      <c r="C8" s="516"/>
      <c r="D8" s="432"/>
      <c r="E8" s="432"/>
      <c r="F8" s="432"/>
      <c r="G8" s="432"/>
      <c r="H8" s="432"/>
      <c r="I8" s="397"/>
      <c r="J8" s="397"/>
      <c r="K8" s="397"/>
      <c r="L8" s="212"/>
    </row>
    <row r="9" spans="1:12" ht="18" customHeight="1" x14ac:dyDescent="0.3">
      <c r="A9" s="211"/>
      <c r="B9" s="218"/>
      <c r="C9" s="394" t="s">
        <v>6</v>
      </c>
      <c r="D9" s="418"/>
      <c r="E9" s="418"/>
      <c r="F9" s="418"/>
      <c r="G9" s="418"/>
      <c r="H9" s="418"/>
      <c r="I9" s="397"/>
      <c r="J9" s="397"/>
      <c r="K9" s="397"/>
      <c r="L9" s="212"/>
    </row>
    <row r="10" spans="1:12" ht="18" customHeight="1" x14ac:dyDescent="0.3">
      <c r="A10" s="211"/>
      <c r="B10" s="218"/>
      <c r="C10" s="408" t="s">
        <v>7</v>
      </c>
      <c r="D10" s="418"/>
      <c r="E10" s="418"/>
      <c r="F10" s="418"/>
      <c r="G10" s="418"/>
      <c r="H10" s="418"/>
      <c r="I10" s="397"/>
      <c r="J10" s="397"/>
      <c r="K10" s="397"/>
      <c r="L10" s="212"/>
    </row>
    <row r="11" spans="1:12" ht="18" customHeight="1" x14ac:dyDescent="0.3">
      <c r="A11" s="211"/>
      <c r="B11" s="446"/>
      <c r="C11" s="447"/>
      <c r="D11" s="418"/>
      <c r="E11" s="418"/>
      <c r="F11" s="418"/>
      <c r="G11" s="418"/>
      <c r="H11" s="418"/>
      <c r="I11" s="397"/>
      <c r="J11" s="397"/>
      <c r="K11" s="397"/>
      <c r="L11" s="212"/>
    </row>
    <row r="12" spans="1:12" ht="18" customHeight="1" x14ac:dyDescent="0.45">
      <c r="A12" s="211"/>
      <c r="B12" s="448">
        <v>1</v>
      </c>
      <c r="C12" s="449" t="s">
        <v>8</v>
      </c>
      <c r="D12" s="418"/>
      <c r="E12" s="418"/>
      <c r="F12" s="418"/>
      <c r="G12" s="418"/>
      <c r="H12" s="418"/>
      <c r="I12" s="397"/>
      <c r="J12" s="397"/>
      <c r="K12" s="397"/>
      <c r="L12" s="212"/>
    </row>
    <row r="13" spans="1:12" ht="18" customHeight="1" x14ac:dyDescent="0.35">
      <c r="A13" s="211"/>
      <c r="B13" s="433"/>
      <c r="C13" s="408" t="s">
        <v>9</v>
      </c>
      <c r="D13" s="418"/>
      <c r="E13" s="418"/>
      <c r="F13" s="418"/>
      <c r="G13" s="418"/>
      <c r="H13" s="418"/>
      <c r="I13" s="397"/>
      <c r="J13" s="397"/>
      <c r="K13" s="397"/>
      <c r="L13" s="212"/>
    </row>
    <row r="14" spans="1:12" ht="18" customHeight="1" x14ac:dyDescent="0.35">
      <c r="A14" s="211"/>
      <c r="B14" s="218"/>
      <c r="C14" s="433"/>
      <c r="D14" s="418"/>
      <c r="E14" s="418"/>
      <c r="F14" s="418"/>
      <c r="G14" s="418"/>
      <c r="H14" s="418"/>
      <c r="I14" s="397"/>
      <c r="J14" s="397"/>
      <c r="K14" s="397"/>
      <c r="L14" s="212"/>
    </row>
    <row r="15" spans="1:12" ht="18" customHeight="1" x14ac:dyDescent="0.45">
      <c r="A15" s="211"/>
      <c r="B15" s="448">
        <v>2</v>
      </c>
      <c r="C15" s="449" t="s">
        <v>10</v>
      </c>
      <c r="D15" s="433"/>
      <c r="E15" s="433"/>
      <c r="F15" s="433"/>
      <c r="G15" s="433"/>
      <c r="H15" s="433"/>
      <c r="I15" s="220"/>
      <c r="J15" s="220"/>
      <c r="K15" s="220"/>
      <c r="L15" s="212"/>
    </row>
    <row r="16" spans="1:12" ht="18" customHeight="1" x14ac:dyDescent="0.35">
      <c r="A16" s="211"/>
      <c r="B16" s="433"/>
      <c r="C16" s="385" t="s">
        <v>11</v>
      </c>
      <c r="D16" s="433"/>
      <c r="E16" s="433"/>
      <c r="F16" s="433"/>
      <c r="G16" s="433"/>
      <c r="H16" s="433"/>
      <c r="I16" s="220"/>
      <c r="J16" s="220"/>
      <c r="K16" s="220"/>
      <c r="L16" s="212"/>
    </row>
    <row r="17" spans="1:12" ht="18" customHeight="1" x14ac:dyDescent="0.35">
      <c r="A17" s="211"/>
      <c r="B17" s="433"/>
      <c r="C17" s="385" t="s">
        <v>12</v>
      </c>
      <c r="D17" s="433"/>
      <c r="E17" s="433"/>
      <c r="F17" s="433"/>
      <c r="G17" s="433"/>
      <c r="H17" s="433"/>
      <c r="I17" s="220"/>
      <c r="J17" s="220"/>
      <c r="K17" s="220"/>
      <c r="L17" s="212"/>
    </row>
    <row r="18" spans="1:12" ht="18" customHeight="1" x14ac:dyDescent="0.3">
      <c r="A18" s="211"/>
      <c r="B18" s="218"/>
      <c r="C18" s="220"/>
      <c r="D18" s="220"/>
      <c r="E18" s="220"/>
      <c r="F18" s="220"/>
      <c r="G18" s="220"/>
      <c r="H18" s="220"/>
      <c r="I18" s="220"/>
      <c r="J18" s="220"/>
      <c r="K18" s="220"/>
      <c r="L18" s="212"/>
    </row>
    <row r="19" spans="1:12" ht="18" customHeight="1" x14ac:dyDescent="0.45">
      <c r="A19" s="211"/>
      <c r="B19" s="448">
        <v>3</v>
      </c>
      <c r="C19" s="450" t="s">
        <v>13</v>
      </c>
      <c r="D19" s="440"/>
      <c r="E19" s="440"/>
      <c r="F19" s="440"/>
      <c r="G19" s="440"/>
      <c r="H19" s="440"/>
      <c r="I19" s="219"/>
      <c r="J19" s="219"/>
      <c r="K19" s="219"/>
      <c r="L19" s="212"/>
    </row>
    <row r="20" spans="1:12" ht="18" customHeight="1" x14ac:dyDescent="0.3">
      <c r="A20" s="211"/>
      <c r="B20" s="441"/>
      <c r="C20" s="422" t="s">
        <v>14</v>
      </c>
      <c r="D20" s="440"/>
      <c r="E20" s="440"/>
      <c r="F20" s="440"/>
      <c r="G20" s="440"/>
      <c r="H20" s="440"/>
      <c r="I20" s="219"/>
      <c r="J20" s="219"/>
      <c r="K20" s="219"/>
      <c r="L20" s="212"/>
    </row>
    <row r="21" spans="1:12" ht="18" customHeight="1" x14ac:dyDescent="0.3">
      <c r="A21" s="211"/>
      <c r="B21" s="441"/>
      <c r="C21" s="444" t="s">
        <v>15</v>
      </c>
      <c r="D21" s="444" t="s">
        <v>16</v>
      </c>
      <c r="E21" s="444" t="s">
        <v>17</v>
      </c>
      <c r="G21" s="440"/>
      <c r="H21" s="440"/>
      <c r="I21" s="219"/>
      <c r="J21" s="219"/>
      <c r="K21" s="219"/>
      <c r="L21" s="212"/>
    </row>
    <row r="22" spans="1:12" ht="18" customHeight="1" x14ac:dyDescent="0.3">
      <c r="A22" s="211"/>
      <c r="B22" s="441"/>
      <c r="D22" s="440"/>
      <c r="E22" s="440"/>
      <c r="F22" s="440"/>
      <c r="G22" s="440"/>
      <c r="H22" s="440"/>
      <c r="I22" s="219"/>
      <c r="J22" s="219"/>
      <c r="K22" s="219"/>
      <c r="L22" s="212"/>
    </row>
    <row r="23" spans="1:12" ht="18" customHeight="1" x14ac:dyDescent="0.3">
      <c r="A23" s="211"/>
      <c r="B23" s="441"/>
      <c r="C23" s="444" t="s">
        <v>18</v>
      </c>
      <c r="D23" s="440"/>
      <c r="E23" s="440"/>
      <c r="F23" s="440"/>
      <c r="G23" s="440"/>
      <c r="H23" s="440"/>
      <c r="I23" s="219"/>
      <c r="J23" s="219"/>
      <c r="K23" s="219"/>
      <c r="L23" s="212"/>
    </row>
    <row r="24" spans="1:12" ht="18" customHeight="1" x14ac:dyDescent="0.3">
      <c r="A24" s="211"/>
      <c r="B24" s="218"/>
      <c r="C24" s="422" t="s">
        <v>19</v>
      </c>
      <c r="D24" s="421"/>
      <c r="E24" s="421"/>
      <c r="F24" s="421"/>
      <c r="G24" s="421"/>
      <c r="H24" s="421"/>
      <c r="I24" s="223"/>
      <c r="J24" s="223"/>
      <c r="K24" s="223"/>
      <c r="L24" s="212"/>
    </row>
    <row r="25" spans="1:12" ht="8.4499999999999993" customHeight="1" x14ac:dyDescent="0.3">
      <c r="A25" s="211"/>
      <c r="B25" s="218"/>
      <c r="C25" s="220"/>
      <c r="D25" s="220"/>
      <c r="E25" s="220"/>
      <c r="F25" s="220"/>
      <c r="G25" s="220"/>
      <c r="H25" s="220"/>
      <c r="I25" s="220"/>
      <c r="J25" s="220"/>
      <c r="K25" s="220"/>
      <c r="L25" s="212"/>
    </row>
    <row r="26" spans="1:12" ht="18" customHeight="1" x14ac:dyDescent="0.3">
      <c r="A26" s="211"/>
      <c r="B26" s="218"/>
      <c r="C26" s="442" t="s">
        <v>20</v>
      </c>
      <c r="E26" s="216"/>
      <c r="F26" s="216"/>
      <c r="G26" s="221"/>
      <c r="H26" s="221"/>
      <c r="L26" s="212"/>
    </row>
    <row r="27" spans="1:12" ht="8.4499999999999993" customHeight="1" x14ac:dyDescent="0.3">
      <c r="A27" s="211"/>
      <c r="B27" s="218"/>
      <c r="D27" s="419"/>
      <c r="E27" s="216"/>
      <c r="F27" s="216"/>
      <c r="G27" s="221"/>
      <c r="H27" s="221"/>
      <c r="L27" s="212"/>
    </row>
    <row r="28" spans="1:12" ht="18" customHeight="1" x14ac:dyDescent="0.3">
      <c r="A28" s="211"/>
      <c r="B28" s="218"/>
      <c r="D28" s="224" t="s">
        <v>21</v>
      </c>
      <c r="E28" s="216"/>
      <c r="F28" s="216"/>
      <c r="G28" s="221"/>
      <c r="H28" s="221"/>
      <c r="L28" s="212"/>
    </row>
    <row r="29" spans="1:12" ht="18" customHeight="1" thickBot="1" x14ac:dyDescent="0.35">
      <c r="A29" s="211"/>
      <c r="B29" s="218"/>
      <c r="D29" s="225" t="s">
        <v>22</v>
      </c>
      <c r="E29" s="226" t="s">
        <v>23</v>
      </c>
      <c r="F29" s="227" t="s">
        <v>23</v>
      </c>
      <c r="G29" s="228" t="s">
        <v>24</v>
      </c>
      <c r="H29" s="229" t="s">
        <v>25</v>
      </c>
      <c r="I29" s="216"/>
      <c r="J29" s="216"/>
      <c r="K29" s="216"/>
      <c r="L29" s="212"/>
    </row>
    <row r="30" spans="1:12" ht="18" customHeight="1" x14ac:dyDescent="0.3">
      <c r="A30" s="211"/>
      <c r="B30" s="218"/>
      <c r="D30" s="230" t="s">
        <v>26</v>
      </c>
      <c r="E30" s="231" t="s">
        <v>27</v>
      </c>
      <c r="F30" s="232" t="s">
        <v>23</v>
      </c>
      <c r="G30" s="233" t="s">
        <v>24</v>
      </c>
      <c r="H30" s="234" t="s">
        <v>25</v>
      </c>
      <c r="I30" s="216"/>
      <c r="J30" s="216"/>
      <c r="K30" s="216"/>
      <c r="L30" s="212"/>
    </row>
    <row r="31" spans="1:12" ht="18" customHeight="1" thickBot="1" x14ac:dyDescent="0.35">
      <c r="A31" s="211"/>
      <c r="B31" s="218"/>
      <c r="D31" s="230" t="s">
        <v>23</v>
      </c>
      <c r="E31" s="235" t="s">
        <v>27</v>
      </c>
      <c r="F31" s="232" t="s">
        <v>23</v>
      </c>
      <c r="G31" s="233" t="s">
        <v>24</v>
      </c>
      <c r="H31" s="236" t="s">
        <v>24</v>
      </c>
      <c r="I31" s="216"/>
      <c r="J31" s="216"/>
      <c r="K31" s="216"/>
      <c r="L31" s="212"/>
    </row>
    <row r="32" spans="1:12" ht="18" customHeight="1" thickBot="1" x14ac:dyDescent="0.35">
      <c r="A32" s="211"/>
      <c r="B32" s="218"/>
      <c r="D32" s="237" t="s">
        <v>27</v>
      </c>
      <c r="E32" s="238" t="s">
        <v>27</v>
      </c>
      <c r="F32" s="239" t="s">
        <v>27</v>
      </c>
      <c r="G32" s="240" t="s">
        <v>23</v>
      </c>
      <c r="H32" s="241" t="s">
        <v>23</v>
      </c>
      <c r="I32" s="242" t="s">
        <v>28</v>
      </c>
      <c r="J32" s="242"/>
      <c r="K32" s="242"/>
      <c r="L32" s="212"/>
    </row>
    <row r="33" spans="1:12" ht="18" customHeight="1" x14ac:dyDescent="0.3">
      <c r="A33" s="211"/>
      <c r="B33" s="218"/>
      <c r="D33" s="445"/>
      <c r="E33" s="243" t="s">
        <v>27</v>
      </c>
      <c r="F33" s="244" t="s">
        <v>23</v>
      </c>
      <c r="G33" s="245" t="s">
        <v>26</v>
      </c>
      <c r="H33" s="246" t="s">
        <v>22</v>
      </c>
      <c r="I33" s="247"/>
      <c r="J33" s="216"/>
      <c r="K33" s="216"/>
      <c r="L33" s="212"/>
    </row>
    <row r="34" spans="1:12" ht="18" customHeight="1" x14ac:dyDescent="0.3">
      <c r="A34" s="211"/>
      <c r="B34" s="218"/>
      <c r="C34" s="248"/>
      <c r="D34" s="519" t="s">
        <v>29</v>
      </c>
      <c r="E34" s="519"/>
      <c r="F34" s="519"/>
      <c r="G34" s="519"/>
      <c r="H34" s="216"/>
      <c r="I34" s="216"/>
      <c r="J34" s="216"/>
      <c r="K34" s="216"/>
      <c r="L34" s="212"/>
    </row>
    <row r="35" spans="1:12" ht="7.9" customHeight="1" x14ac:dyDescent="0.3">
      <c r="A35" s="211"/>
      <c r="B35" s="218"/>
      <c r="C35" s="248"/>
      <c r="D35" s="249"/>
      <c r="E35" s="249"/>
      <c r="F35" s="249"/>
      <c r="G35" s="249"/>
      <c r="H35" s="216"/>
      <c r="I35" s="216"/>
      <c r="J35" s="216"/>
      <c r="K35" s="216"/>
      <c r="L35" s="212"/>
    </row>
    <row r="36" spans="1:12" ht="18" customHeight="1" x14ac:dyDescent="0.3">
      <c r="A36" s="211"/>
      <c r="B36" s="218"/>
      <c r="E36" s="250" t="s">
        <v>27</v>
      </c>
      <c r="F36" s="420" t="s">
        <v>30</v>
      </c>
      <c r="G36" s="248"/>
      <c r="H36" s="216"/>
      <c r="I36" s="216"/>
      <c r="J36" s="216"/>
      <c r="K36" s="216"/>
      <c r="L36" s="212"/>
    </row>
    <row r="37" spans="1:12" ht="18" customHeight="1" x14ac:dyDescent="0.3">
      <c r="A37" s="211"/>
      <c r="B37" s="218"/>
      <c r="E37" s="251" t="s">
        <v>23</v>
      </c>
      <c r="F37" s="420" t="s">
        <v>31</v>
      </c>
      <c r="G37" s="248"/>
      <c r="H37" s="216"/>
      <c r="I37" s="216"/>
      <c r="J37" s="216"/>
      <c r="K37" s="216"/>
      <c r="L37" s="212"/>
    </row>
    <row r="38" spans="1:12" ht="18" customHeight="1" x14ac:dyDescent="0.3">
      <c r="A38" s="211"/>
      <c r="B38" s="218"/>
      <c r="E38" s="252" t="s">
        <v>24</v>
      </c>
      <c r="F38" s="420" t="s">
        <v>31</v>
      </c>
      <c r="G38" s="248"/>
      <c r="H38" s="216"/>
      <c r="I38" s="216"/>
      <c r="J38" s="216"/>
      <c r="K38" s="216"/>
      <c r="L38" s="212"/>
    </row>
    <row r="39" spans="1:12" ht="18" customHeight="1" x14ac:dyDescent="0.3">
      <c r="A39" s="211"/>
      <c r="B39" s="218"/>
      <c r="E39" s="253" t="s">
        <v>25</v>
      </c>
      <c r="F39" s="420" t="s">
        <v>31</v>
      </c>
      <c r="G39" s="248"/>
      <c r="H39" s="216"/>
      <c r="I39" s="216"/>
      <c r="J39" s="216"/>
      <c r="K39" s="216"/>
      <c r="L39" s="212"/>
    </row>
    <row r="40" spans="1:12" ht="12" customHeight="1" x14ac:dyDescent="0.3">
      <c r="A40" s="211"/>
      <c r="B40" s="218"/>
      <c r="C40" s="224"/>
      <c r="D40" s="216"/>
      <c r="E40" s="216"/>
      <c r="F40" s="221"/>
      <c r="G40" s="221"/>
      <c r="L40" s="212"/>
    </row>
    <row r="41" spans="1:12" ht="18" customHeight="1" x14ac:dyDescent="0.3">
      <c r="A41" s="211"/>
      <c r="B41" s="218"/>
      <c r="C41" s="254"/>
      <c r="D41" s="254" t="s">
        <v>32</v>
      </c>
      <c r="E41" s="254"/>
      <c r="F41" s="216"/>
      <c r="G41" s="221"/>
      <c r="H41" s="221"/>
      <c r="L41" s="212"/>
    </row>
    <row r="42" spans="1:12" ht="18" customHeight="1" x14ac:dyDescent="0.3">
      <c r="A42" s="211"/>
      <c r="B42" s="218"/>
      <c r="D42" s="254"/>
      <c r="E42" s="254"/>
      <c r="F42" s="216"/>
      <c r="G42" s="221"/>
      <c r="H42" s="221"/>
      <c r="L42" s="212"/>
    </row>
    <row r="43" spans="1:12" ht="18" customHeight="1" x14ac:dyDescent="0.3">
      <c r="A43" s="211"/>
      <c r="B43" s="218"/>
      <c r="D43" s="255" t="s">
        <v>27</v>
      </c>
      <c r="E43" s="400" t="s">
        <v>33</v>
      </c>
      <c r="F43" s="400"/>
      <c r="G43" s="400"/>
      <c r="H43" s="400"/>
      <c r="I43" s="400"/>
      <c r="J43" s="400"/>
      <c r="L43" s="212"/>
    </row>
    <row r="44" spans="1:12" ht="18" customHeight="1" x14ac:dyDescent="0.3">
      <c r="A44" s="211"/>
      <c r="B44" s="218"/>
      <c r="D44" s="255" t="s">
        <v>23</v>
      </c>
      <c r="E44" s="400" t="s">
        <v>34</v>
      </c>
      <c r="F44" s="400"/>
      <c r="G44" s="400"/>
      <c r="H44" s="400"/>
      <c r="I44" s="400"/>
      <c r="J44" s="400"/>
      <c r="K44" s="256"/>
      <c r="L44" s="212"/>
    </row>
    <row r="45" spans="1:12" ht="18" customHeight="1" x14ac:dyDescent="0.3">
      <c r="A45" s="211"/>
      <c r="B45" s="218"/>
      <c r="D45" s="255" t="s">
        <v>24</v>
      </c>
      <c r="E45" s="400" t="s">
        <v>35</v>
      </c>
      <c r="F45" s="400"/>
      <c r="G45" s="400"/>
      <c r="H45" s="400"/>
      <c r="I45" s="400"/>
      <c r="J45" s="400"/>
      <c r="K45" s="256"/>
      <c r="L45" s="212"/>
    </row>
    <row r="46" spans="1:12" ht="18" customHeight="1" x14ac:dyDescent="0.3">
      <c r="A46" s="211"/>
      <c r="B46" s="218"/>
      <c r="D46" s="255" t="s">
        <v>25</v>
      </c>
      <c r="E46" s="400" t="s">
        <v>36</v>
      </c>
      <c r="F46" s="400"/>
      <c r="G46" s="400"/>
      <c r="H46" s="400"/>
      <c r="I46" s="400"/>
      <c r="J46" s="400"/>
      <c r="K46" s="256"/>
      <c r="L46" s="212"/>
    </row>
    <row r="47" spans="1:12" ht="18" customHeight="1" x14ac:dyDescent="0.3">
      <c r="A47" s="211"/>
      <c r="B47" s="218"/>
      <c r="D47" s="405"/>
      <c r="E47" s="406"/>
      <c r="F47" s="406"/>
      <c r="G47" s="406"/>
      <c r="H47" s="406"/>
      <c r="I47" s="406"/>
      <c r="J47" s="256"/>
      <c r="K47" s="256"/>
      <c r="L47" s="212"/>
    </row>
    <row r="48" spans="1:12" ht="18" customHeight="1" x14ac:dyDescent="0.3">
      <c r="A48" s="211"/>
      <c r="B48" s="218"/>
      <c r="D48" s="254" t="s">
        <v>37</v>
      </c>
      <c r="E48" s="254"/>
      <c r="F48" s="216"/>
      <c r="G48" s="221"/>
      <c r="H48" s="221"/>
      <c r="J48" s="256"/>
      <c r="K48" s="256"/>
      <c r="L48" s="212"/>
    </row>
    <row r="49" spans="1:12" ht="18" customHeight="1" x14ac:dyDescent="0.3">
      <c r="A49" s="211"/>
      <c r="B49" s="218"/>
      <c r="D49" s="255" t="s">
        <v>27</v>
      </c>
      <c r="E49" s="400" t="s">
        <v>38</v>
      </c>
      <c r="F49" s="400"/>
      <c r="G49" s="400"/>
      <c r="H49" s="400"/>
      <c r="I49" s="400"/>
      <c r="J49" s="399"/>
      <c r="K49" s="256"/>
      <c r="L49" s="212"/>
    </row>
    <row r="50" spans="1:12" ht="18" customHeight="1" x14ac:dyDescent="0.3">
      <c r="A50" s="211"/>
      <c r="B50" s="218"/>
      <c r="D50" s="255" t="s">
        <v>23</v>
      </c>
      <c r="E50" s="400" t="s">
        <v>39</v>
      </c>
      <c r="F50" s="400"/>
      <c r="G50" s="400"/>
      <c r="H50" s="400"/>
      <c r="I50" s="400"/>
      <c r="J50" s="399"/>
      <c r="K50" s="256"/>
      <c r="L50" s="212"/>
    </row>
    <row r="51" spans="1:12" ht="18" customHeight="1" x14ac:dyDescent="0.3">
      <c r="A51" s="211"/>
      <c r="B51" s="218"/>
      <c r="D51" s="255" t="s">
        <v>24</v>
      </c>
      <c r="E51" s="400" t="s">
        <v>40</v>
      </c>
      <c r="F51" s="400"/>
      <c r="G51" s="400"/>
      <c r="H51" s="400"/>
      <c r="I51" s="400"/>
      <c r="J51" s="399"/>
      <c r="K51" s="256"/>
      <c r="L51" s="212"/>
    </row>
    <row r="52" spans="1:12" ht="18" customHeight="1" x14ac:dyDescent="0.3">
      <c r="A52" s="211"/>
      <c r="B52" s="218"/>
      <c r="D52" s="255" t="s">
        <v>25</v>
      </c>
      <c r="E52" s="400" t="s">
        <v>41</v>
      </c>
      <c r="F52" s="400"/>
      <c r="G52" s="400"/>
      <c r="H52" s="400"/>
      <c r="I52" s="400"/>
      <c r="J52" s="399"/>
      <c r="K52" s="256"/>
      <c r="L52" s="212"/>
    </row>
    <row r="53" spans="1:12" ht="18" customHeight="1" x14ac:dyDescent="0.3">
      <c r="A53" s="211"/>
      <c r="B53" s="218"/>
      <c r="K53" s="256"/>
      <c r="L53" s="212"/>
    </row>
    <row r="54" spans="1:12" ht="18" customHeight="1" x14ac:dyDescent="0.3">
      <c r="A54" s="211"/>
      <c r="B54" s="218"/>
      <c r="C54" s="405"/>
      <c r="D54" s="406"/>
      <c r="E54" s="406"/>
      <c r="F54" s="406"/>
      <c r="G54" s="406"/>
      <c r="H54" s="406"/>
      <c r="I54" s="406"/>
      <c r="J54" s="406"/>
      <c r="K54" s="256"/>
      <c r="L54" s="212"/>
    </row>
    <row r="55" spans="1:12" ht="18" customHeight="1" x14ac:dyDescent="0.3">
      <c r="A55" s="211"/>
      <c r="B55" s="218"/>
      <c r="C55" s="418" t="s">
        <v>42</v>
      </c>
      <c r="D55" s="406"/>
      <c r="E55" s="406"/>
      <c r="F55" s="406"/>
      <c r="G55" s="406"/>
      <c r="H55" s="406"/>
      <c r="I55" s="406"/>
      <c r="J55" s="406"/>
      <c r="K55" s="256"/>
      <c r="L55" s="212"/>
    </row>
    <row r="56" spans="1:12" ht="18" customHeight="1" x14ac:dyDescent="0.3">
      <c r="A56" s="211"/>
      <c r="B56" s="218"/>
      <c r="C56" s="248" t="s">
        <v>43</v>
      </c>
      <c r="D56" s="406"/>
      <c r="E56" s="406"/>
      <c r="F56" s="406"/>
      <c r="G56" s="406"/>
      <c r="H56" s="406"/>
      <c r="I56" s="406"/>
      <c r="J56" s="406"/>
      <c r="K56" s="256"/>
      <c r="L56" s="212"/>
    </row>
    <row r="57" spans="1:12" ht="18" customHeight="1" x14ac:dyDescent="0.3">
      <c r="A57" s="211"/>
      <c r="B57" s="218"/>
      <c r="C57" s="431" t="s">
        <v>44</v>
      </c>
      <c r="D57" s="406"/>
      <c r="E57" s="406"/>
      <c r="F57" s="406"/>
      <c r="G57" s="406"/>
      <c r="H57" s="406"/>
      <c r="I57" s="406"/>
      <c r="J57" s="406"/>
      <c r="K57" s="256"/>
      <c r="L57" s="212"/>
    </row>
    <row r="58" spans="1:12" ht="18" customHeight="1" x14ac:dyDescent="0.3">
      <c r="A58" s="211"/>
      <c r="B58" s="218"/>
      <c r="C58" s="394" t="s">
        <v>45</v>
      </c>
      <c r="D58" s="406"/>
      <c r="E58" s="406"/>
      <c r="F58" s="406"/>
      <c r="G58" s="406"/>
      <c r="H58" s="406"/>
      <c r="I58" s="406"/>
      <c r="J58" s="406"/>
      <c r="K58" s="256"/>
      <c r="L58" s="212"/>
    </row>
    <row r="59" spans="1:12" ht="18" customHeight="1" x14ac:dyDescent="0.3">
      <c r="A59" s="211"/>
      <c r="B59" s="218"/>
      <c r="C59" s="394" t="s">
        <v>46</v>
      </c>
      <c r="D59" s="406"/>
      <c r="E59" s="406"/>
      <c r="F59" s="406"/>
      <c r="G59" s="406"/>
      <c r="H59" s="406"/>
      <c r="I59" s="406"/>
      <c r="J59" s="406"/>
      <c r="K59" s="256"/>
      <c r="L59" s="212"/>
    </row>
    <row r="60" spans="1:12" ht="18" customHeight="1" x14ac:dyDescent="0.3">
      <c r="A60" s="211"/>
      <c r="B60" s="218"/>
      <c r="C60" s="394"/>
      <c r="D60" s="406"/>
      <c r="E60" s="406"/>
      <c r="F60" s="406"/>
      <c r="G60" s="406"/>
      <c r="H60" s="406"/>
      <c r="I60" s="406"/>
      <c r="J60" s="406"/>
      <c r="K60" s="256"/>
      <c r="L60" s="212"/>
    </row>
    <row r="61" spans="1:12" ht="18" customHeight="1" x14ac:dyDescent="0.3">
      <c r="A61" s="211"/>
      <c r="B61" s="423"/>
      <c r="C61" s="424"/>
      <c r="D61" s="425"/>
      <c r="E61" s="425"/>
      <c r="F61" s="425"/>
      <c r="G61" s="425"/>
      <c r="H61" s="425"/>
      <c r="I61" s="425"/>
      <c r="J61" s="425"/>
      <c r="K61" s="426"/>
      <c r="L61" s="212"/>
    </row>
    <row r="62" spans="1:12" ht="18" customHeight="1" x14ac:dyDescent="0.3">
      <c r="A62" s="211"/>
      <c r="B62" s="423"/>
      <c r="C62" s="515" t="s">
        <v>47</v>
      </c>
      <c r="D62" s="515"/>
      <c r="E62" s="515"/>
      <c r="F62" s="515"/>
      <c r="G62" s="515"/>
      <c r="H62" s="515"/>
      <c r="I62" s="515"/>
      <c r="J62" s="515"/>
      <c r="K62" s="426"/>
      <c r="L62" s="212"/>
    </row>
    <row r="63" spans="1:12" ht="18" customHeight="1" x14ac:dyDescent="0.3">
      <c r="A63" s="211"/>
      <c r="B63" s="423"/>
      <c r="C63" s="427" t="s">
        <v>48</v>
      </c>
      <c r="D63" s="425"/>
      <c r="E63" s="425"/>
      <c r="F63" s="425"/>
      <c r="G63" s="425"/>
      <c r="H63" s="425"/>
      <c r="I63" s="425"/>
      <c r="J63" s="425"/>
      <c r="K63" s="426"/>
      <c r="L63" s="212"/>
    </row>
    <row r="64" spans="1:12" ht="18" customHeight="1" x14ac:dyDescent="0.3">
      <c r="A64" s="211"/>
      <c r="B64" s="423"/>
      <c r="C64" s="427" t="s">
        <v>49</v>
      </c>
      <c r="D64" s="425"/>
      <c r="E64" s="425"/>
      <c r="F64" s="425"/>
      <c r="G64" s="425"/>
      <c r="H64" s="425"/>
      <c r="I64" s="425"/>
      <c r="J64" s="425"/>
      <c r="K64" s="426"/>
      <c r="L64" s="212"/>
    </row>
    <row r="65" spans="1:12" ht="18" customHeight="1" x14ac:dyDescent="0.3">
      <c r="A65" s="211"/>
      <c r="B65" s="423"/>
      <c r="C65" s="427"/>
      <c r="D65" s="425"/>
      <c r="E65" s="425"/>
      <c r="F65" s="425"/>
      <c r="G65" s="425"/>
      <c r="H65" s="425"/>
      <c r="I65" s="425"/>
      <c r="J65" s="425"/>
      <c r="K65" s="426"/>
      <c r="L65" s="212"/>
    </row>
    <row r="66" spans="1:12" ht="18" customHeight="1" x14ac:dyDescent="0.3">
      <c r="A66" s="211"/>
      <c r="B66" s="423"/>
      <c r="C66" s="427"/>
      <c r="D66" s="425"/>
      <c r="E66" s="425"/>
      <c r="F66" s="425"/>
      <c r="G66" s="425"/>
      <c r="H66" s="425"/>
      <c r="I66" s="425"/>
      <c r="J66" s="425"/>
      <c r="K66" s="426"/>
      <c r="L66" s="212"/>
    </row>
    <row r="67" spans="1:12" ht="18" customHeight="1" x14ac:dyDescent="0.3">
      <c r="A67" s="211"/>
      <c r="B67" s="423"/>
      <c r="C67" s="427"/>
      <c r="D67" s="425"/>
      <c r="E67" s="425"/>
      <c r="F67" s="425"/>
      <c r="G67" s="425"/>
      <c r="H67" s="425"/>
      <c r="I67" s="425"/>
      <c r="J67" s="425"/>
      <c r="K67" s="426"/>
      <c r="L67" s="212"/>
    </row>
    <row r="68" spans="1:12" ht="18" customHeight="1" x14ac:dyDescent="0.3">
      <c r="A68" s="211"/>
      <c r="B68" s="423"/>
      <c r="C68" s="427"/>
      <c r="D68" s="425"/>
      <c r="E68" s="425"/>
      <c r="F68" s="425"/>
      <c r="G68" s="425"/>
      <c r="H68" s="425"/>
      <c r="I68" s="425"/>
      <c r="J68" s="425"/>
      <c r="K68" s="426"/>
      <c r="L68" s="212"/>
    </row>
    <row r="69" spans="1:12" ht="18" customHeight="1" x14ac:dyDescent="0.3">
      <c r="A69" s="211"/>
      <c r="B69" s="423"/>
      <c r="C69" s="427"/>
      <c r="D69" s="425"/>
      <c r="E69" s="425"/>
      <c r="F69" s="425"/>
      <c r="G69" s="425"/>
      <c r="H69" s="425"/>
      <c r="I69" s="425"/>
      <c r="J69" s="425"/>
      <c r="K69" s="426"/>
      <c r="L69" s="212"/>
    </row>
    <row r="70" spans="1:12" ht="18" customHeight="1" x14ac:dyDescent="0.3">
      <c r="A70" s="211"/>
      <c r="B70" s="423"/>
      <c r="C70" s="427"/>
      <c r="D70" s="425"/>
      <c r="E70" s="425"/>
      <c r="F70" s="425"/>
      <c r="G70" s="425"/>
      <c r="H70" s="425"/>
      <c r="I70" s="425"/>
      <c r="J70" s="425"/>
      <c r="K70" s="426"/>
      <c r="L70" s="212"/>
    </row>
    <row r="71" spans="1:12" ht="18" customHeight="1" x14ac:dyDescent="0.3">
      <c r="A71" s="211"/>
      <c r="B71" s="423"/>
      <c r="C71" s="427"/>
      <c r="D71" s="425"/>
      <c r="E71" s="425"/>
      <c r="F71" s="425"/>
      <c r="G71" s="425"/>
      <c r="H71" s="425"/>
      <c r="I71" s="425"/>
      <c r="J71" s="425"/>
      <c r="K71" s="426"/>
      <c r="L71" s="212"/>
    </row>
    <row r="72" spans="1:12" ht="18" customHeight="1" x14ac:dyDescent="0.3">
      <c r="A72" s="211"/>
      <c r="B72" s="423"/>
      <c r="C72" s="427"/>
      <c r="D72" s="425"/>
      <c r="E72" s="425"/>
      <c r="F72" s="425"/>
      <c r="G72" s="425"/>
      <c r="H72" s="425"/>
      <c r="I72" s="425"/>
      <c r="J72" s="425"/>
      <c r="K72" s="426"/>
      <c r="L72" s="212"/>
    </row>
    <row r="73" spans="1:12" ht="18" customHeight="1" x14ac:dyDescent="0.3">
      <c r="A73" s="211"/>
      <c r="B73" s="423"/>
      <c r="C73" s="427"/>
      <c r="D73" s="425"/>
      <c r="E73" s="425"/>
      <c r="F73" s="425"/>
      <c r="G73" s="425"/>
      <c r="H73" s="425"/>
      <c r="I73" s="425"/>
      <c r="J73" s="425"/>
      <c r="K73" s="426"/>
      <c r="L73" s="212"/>
    </row>
    <row r="74" spans="1:12" ht="18" customHeight="1" x14ac:dyDescent="0.3">
      <c r="A74" s="211"/>
      <c r="B74" s="423"/>
      <c r="C74" s="427"/>
      <c r="D74" s="425"/>
      <c r="E74" s="425"/>
      <c r="F74" s="425"/>
      <c r="G74" s="425"/>
      <c r="H74" s="425"/>
      <c r="I74" s="425"/>
      <c r="J74" s="425"/>
      <c r="K74" s="426"/>
      <c r="L74" s="212"/>
    </row>
    <row r="75" spans="1:12" ht="18" customHeight="1" x14ac:dyDescent="0.3">
      <c r="A75" s="211"/>
      <c r="B75" s="423"/>
      <c r="C75" s="428"/>
      <c r="D75" s="425"/>
      <c r="E75" s="425"/>
      <c r="F75" s="425"/>
      <c r="G75" s="425"/>
      <c r="H75" s="425"/>
      <c r="I75" s="425"/>
      <c r="J75" s="425"/>
      <c r="K75" s="426"/>
      <c r="L75" s="212"/>
    </row>
    <row r="76" spans="1:12" ht="18" customHeight="1" x14ac:dyDescent="0.3">
      <c r="A76" s="211"/>
      <c r="B76" s="423"/>
      <c r="C76" s="427" t="s">
        <v>50</v>
      </c>
      <c r="D76" s="425"/>
      <c r="E76" s="425"/>
      <c r="F76" s="425"/>
      <c r="G76" s="425"/>
      <c r="H76" s="425"/>
      <c r="I76" s="425"/>
      <c r="J76" s="425"/>
      <c r="K76" s="426"/>
      <c r="L76" s="212"/>
    </row>
    <row r="77" spans="1:12" ht="18" customHeight="1" x14ac:dyDescent="0.3">
      <c r="A77" s="211"/>
      <c r="B77" s="423"/>
      <c r="C77" s="429" t="s">
        <v>51</v>
      </c>
      <c r="D77" s="425"/>
      <c r="E77" s="425"/>
      <c r="F77" s="425"/>
      <c r="G77" s="425"/>
      <c r="H77" s="425"/>
      <c r="I77" s="425"/>
      <c r="J77" s="425"/>
      <c r="K77" s="426"/>
      <c r="L77" s="212"/>
    </row>
    <row r="78" spans="1:12" ht="18" customHeight="1" x14ac:dyDescent="0.3">
      <c r="A78" s="211"/>
      <c r="B78" s="423"/>
      <c r="C78" s="427" t="s">
        <v>52</v>
      </c>
      <c r="D78" s="427"/>
      <c r="E78" s="427"/>
      <c r="F78" s="427"/>
      <c r="G78" s="427"/>
      <c r="H78" s="425"/>
      <c r="I78" s="425"/>
      <c r="J78" s="425"/>
      <c r="K78" s="426"/>
      <c r="L78" s="212"/>
    </row>
    <row r="79" spans="1:12" ht="18" customHeight="1" x14ac:dyDescent="0.3">
      <c r="A79" s="211"/>
      <c r="B79" s="423"/>
      <c r="C79" s="427" t="s">
        <v>53</v>
      </c>
      <c r="D79" s="427"/>
      <c r="E79" s="427"/>
      <c r="F79" s="427"/>
      <c r="G79" s="427"/>
      <c r="H79" s="425"/>
      <c r="I79" s="425"/>
      <c r="J79" s="425"/>
      <c r="K79" s="426"/>
      <c r="L79" s="212"/>
    </row>
    <row r="80" spans="1:12" ht="18" customHeight="1" x14ac:dyDescent="0.3">
      <c r="A80" s="211"/>
      <c r="B80" s="423"/>
      <c r="C80" s="427"/>
      <c r="D80" s="427"/>
      <c r="E80" s="427"/>
      <c r="F80" s="427"/>
      <c r="G80" s="427"/>
      <c r="H80" s="425"/>
      <c r="I80" s="425"/>
      <c r="J80" s="425"/>
      <c r="K80" s="426"/>
      <c r="L80" s="212"/>
    </row>
    <row r="81" spans="1:12" ht="18" customHeight="1" x14ac:dyDescent="0.3">
      <c r="A81" s="211"/>
      <c r="B81" s="423"/>
      <c r="C81" s="429" t="s">
        <v>54</v>
      </c>
      <c r="D81" s="425"/>
      <c r="E81" s="425"/>
      <c r="F81" s="425"/>
      <c r="G81" s="425"/>
      <c r="H81" s="425"/>
      <c r="I81" s="425"/>
      <c r="J81" s="425"/>
      <c r="K81" s="426"/>
      <c r="L81" s="212"/>
    </row>
    <row r="82" spans="1:12" x14ac:dyDescent="0.3">
      <c r="A82" s="211"/>
      <c r="B82" s="423"/>
      <c r="C82" s="427" t="s">
        <v>55</v>
      </c>
      <c r="D82" s="425"/>
      <c r="E82" s="425"/>
      <c r="F82" s="425"/>
      <c r="G82" s="425"/>
      <c r="H82" s="425"/>
      <c r="I82" s="425"/>
      <c r="J82" s="425"/>
      <c r="K82" s="426"/>
      <c r="L82" s="212"/>
    </row>
    <row r="83" spans="1:12" ht="18" customHeight="1" x14ac:dyDescent="0.3">
      <c r="A83" s="211"/>
      <c r="B83" s="423"/>
      <c r="C83" s="427"/>
      <c r="D83" s="423"/>
      <c r="E83" s="423"/>
      <c r="F83" s="425"/>
      <c r="G83" s="425"/>
      <c r="H83" s="425"/>
      <c r="I83" s="425"/>
      <c r="J83" s="425"/>
      <c r="K83" s="426"/>
      <c r="L83" s="212"/>
    </row>
    <row r="84" spans="1:12" ht="18" customHeight="1" x14ac:dyDescent="0.3">
      <c r="A84" s="211"/>
      <c r="B84" s="218"/>
      <c r="C84" s="405"/>
      <c r="D84" s="410"/>
      <c r="E84" s="410"/>
      <c r="F84" s="406"/>
      <c r="G84" s="406"/>
      <c r="H84" s="406"/>
      <c r="I84" s="406"/>
      <c r="J84" s="406"/>
      <c r="K84" s="256"/>
      <c r="L84" s="212"/>
    </row>
    <row r="85" spans="1:12" ht="18" customHeight="1" x14ac:dyDescent="0.3">
      <c r="A85" s="211"/>
      <c r="B85" s="452">
        <v>4</v>
      </c>
      <c r="C85" s="451" t="s">
        <v>56</v>
      </c>
      <c r="D85" s="410"/>
      <c r="E85" s="410"/>
      <c r="F85" s="406"/>
      <c r="G85" s="406"/>
      <c r="H85" s="406"/>
      <c r="I85" s="406"/>
      <c r="J85" s="406"/>
      <c r="K85" s="256"/>
      <c r="L85" s="212"/>
    </row>
    <row r="86" spans="1:12" ht="18" customHeight="1" x14ac:dyDescent="0.3">
      <c r="A86" s="211"/>
      <c r="B86" s="218"/>
      <c r="C86" s="385" t="s">
        <v>57</v>
      </c>
      <c r="D86" s="410"/>
      <c r="E86" s="410"/>
      <c r="F86" s="406"/>
      <c r="G86" s="406"/>
      <c r="H86" s="406"/>
      <c r="I86" s="406"/>
      <c r="J86" s="406"/>
      <c r="K86" s="256"/>
      <c r="L86" s="212"/>
    </row>
    <row r="87" spans="1:12" ht="18" customHeight="1" x14ac:dyDescent="0.3">
      <c r="A87" s="211"/>
      <c r="B87" s="218"/>
      <c r="C87" s="405"/>
      <c r="D87" s="410"/>
      <c r="E87" s="410"/>
      <c r="F87" s="406"/>
      <c r="G87" s="406"/>
      <c r="H87" s="406"/>
      <c r="I87" s="406"/>
      <c r="J87" s="406"/>
      <c r="K87" s="256"/>
      <c r="L87" s="212"/>
    </row>
    <row r="88" spans="1:12" ht="18" customHeight="1" x14ac:dyDescent="0.3">
      <c r="A88" s="211"/>
      <c r="B88" s="452">
        <v>5</v>
      </c>
      <c r="C88" s="451" t="s">
        <v>58</v>
      </c>
      <c r="D88" s="410"/>
      <c r="E88" s="410"/>
      <c r="F88" s="406"/>
      <c r="G88" s="406"/>
      <c r="H88" s="406"/>
      <c r="I88" s="406"/>
      <c r="J88" s="406"/>
      <c r="K88" s="256"/>
      <c r="L88" s="212"/>
    </row>
    <row r="89" spans="1:12" ht="18" customHeight="1" x14ac:dyDescent="0.3">
      <c r="A89" s="211"/>
      <c r="B89" s="218"/>
      <c r="C89" s="385" t="s">
        <v>59</v>
      </c>
      <c r="D89" s="410"/>
      <c r="E89" s="410"/>
      <c r="F89" s="406"/>
      <c r="G89" s="406"/>
      <c r="H89" s="406"/>
      <c r="I89" s="406"/>
      <c r="J89" s="406"/>
      <c r="K89" s="256"/>
      <c r="L89" s="212"/>
    </row>
    <row r="90" spans="1:12" ht="18" customHeight="1" x14ac:dyDescent="0.3">
      <c r="A90" s="211"/>
      <c r="B90" s="218"/>
      <c r="C90" s="405"/>
      <c r="D90" s="410"/>
      <c r="E90" s="410"/>
      <c r="F90" s="406"/>
      <c r="G90" s="406"/>
      <c r="H90" s="406"/>
      <c r="I90" s="406"/>
      <c r="J90" s="406"/>
      <c r="K90" s="256"/>
      <c r="L90" s="212"/>
    </row>
    <row r="91" spans="1:12" ht="18" customHeight="1" x14ac:dyDescent="0.45">
      <c r="A91" s="211"/>
      <c r="B91" s="448">
        <v>6</v>
      </c>
      <c r="C91" s="453" t="s">
        <v>60</v>
      </c>
      <c r="D91" s="407"/>
      <c r="E91" s="407"/>
      <c r="F91" s="410"/>
      <c r="G91" s="410"/>
      <c r="H91" s="410"/>
      <c r="I91" s="222"/>
      <c r="J91" s="222"/>
      <c r="K91" s="222"/>
      <c r="L91" s="212"/>
    </row>
    <row r="92" spans="1:12" ht="18" customHeight="1" x14ac:dyDescent="0.3">
      <c r="A92" s="211"/>
      <c r="B92" s="218"/>
      <c r="C92" s="410" t="s">
        <v>61</v>
      </c>
      <c r="D92" s="220"/>
      <c r="E92" s="220"/>
      <c r="F92" s="411"/>
      <c r="G92" s="411"/>
      <c r="H92" s="411"/>
      <c r="I92" s="222"/>
      <c r="J92" s="222"/>
      <c r="K92" s="222"/>
      <c r="L92" s="212"/>
    </row>
    <row r="93" spans="1:12" ht="18" customHeight="1" x14ac:dyDescent="0.3">
      <c r="A93" s="211"/>
      <c r="B93" s="218"/>
      <c r="C93" s="411" t="s">
        <v>62</v>
      </c>
      <c r="D93" s="407"/>
      <c r="E93" s="407"/>
      <c r="F93" s="222"/>
      <c r="G93" s="222"/>
      <c r="H93" s="222"/>
      <c r="I93" s="222"/>
      <c r="J93" s="222"/>
      <c r="K93" s="222"/>
      <c r="L93" s="212"/>
    </row>
    <row r="94" spans="1:12" ht="18" customHeight="1" x14ac:dyDescent="0.3">
      <c r="A94" s="211"/>
      <c r="B94" s="218"/>
      <c r="C94" s="222"/>
      <c r="D94" s="221"/>
      <c r="E94" s="221"/>
      <c r="F94" s="220"/>
      <c r="G94" s="220"/>
      <c r="H94" s="220"/>
      <c r="I94" s="220"/>
      <c r="J94" s="220"/>
      <c r="K94" s="220"/>
      <c r="L94" s="212"/>
    </row>
    <row r="95" spans="1:12" ht="18" customHeight="1" x14ac:dyDescent="0.3">
      <c r="A95" s="211"/>
      <c r="B95" s="218"/>
      <c r="C95" s="398" t="s">
        <v>63</v>
      </c>
      <c r="D95" s="219"/>
      <c r="E95" s="219"/>
      <c r="F95" s="220"/>
      <c r="G95" s="220"/>
      <c r="H95" s="220"/>
      <c r="I95" s="220"/>
      <c r="J95" s="220"/>
      <c r="K95" s="220"/>
      <c r="L95" s="212"/>
    </row>
    <row r="96" spans="1:12" ht="18" customHeight="1" x14ac:dyDescent="0.3">
      <c r="A96" s="211"/>
      <c r="B96" s="218"/>
      <c r="C96" s="398" t="s">
        <v>64</v>
      </c>
      <c r="D96" s="219"/>
      <c r="E96" s="219"/>
      <c r="F96" s="220"/>
      <c r="G96" s="220"/>
      <c r="H96" s="220"/>
      <c r="I96" s="220"/>
      <c r="J96" s="220"/>
      <c r="K96" s="220"/>
      <c r="L96" s="212"/>
    </row>
    <row r="97" spans="1:12" ht="18" customHeight="1" x14ac:dyDescent="0.3">
      <c r="A97" s="211"/>
      <c r="B97" s="218"/>
      <c r="C97" s="514" t="s">
        <v>65</v>
      </c>
      <c r="D97" s="514"/>
      <c r="E97" s="514"/>
      <c r="F97" s="514"/>
      <c r="G97" s="514"/>
      <c r="H97" s="514"/>
      <c r="I97" s="514"/>
      <c r="J97" s="514"/>
      <c r="K97" s="220"/>
      <c r="L97" s="212"/>
    </row>
    <row r="98" spans="1:12" ht="18" customHeight="1" x14ac:dyDescent="0.3">
      <c r="A98" s="211"/>
      <c r="B98" s="218"/>
      <c r="C98" s="514"/>
      <c r="D98" s="514"/>
      <c r="E98" s="514"/>
      <c r="F98" s="514"/>
      <c r="G98" s="514"/>
      <c r="H98" s="514"/>
      <c r="I98" s="514"/>
      <c r="J98" s="514"/>
      <c r="L98" s="212"/>
    </row>
    <row r="99" spans="1:12" ht="18" customHeight="1" x14ac:dyDescent="0.3">
      <c r="A99" s="211"/>
      <c r="B99" s="218"/>
      <c r="C99" s="220"/>
      <c r="D99" s="220"/>
      <c r="E99" s="220"/>
      <c r="F99" s="220"/>
      <c r="G99" s="220"/>
      <c r="H99" s="220"/>
      <c r="I99" s="220"/>
      <c r="J99" s="220"/>
      <c r="L99" s="212"/>
    </row>
    <row r="100" spans="1:12" ht="18" customHeight="1" x14ac:dyDescent="0.3">
      <c r="A100" s="211"/>
      <c r="B100" s="218"/>
      <c r="C100" s="408" t="s">
        <v>66</v>
      </c>
      <c r="D100" s="219"/>
      <c r="E100" s="214"/>
      <c r="F100" s="407"/>
      <c r="G100" s="407"/>
      <c r="H100" s="407"/>
      <c r="I100" s="257"/>
      <c r="J100" s="257"/>
      <c r="K100" s="257"/>
      <c r="L100" s="212"/>
    </row>
    <row r="101" spans="1:12" ht="18" customHeight="1" x14ac:dyDescent="0.3">
      <c r="A101" s="211"/>
      <c r="B101" s="218"/>
      <c r="C101" s="408" t="s">
        <v>67</v>
      </c>
      <c r="D101" s="214"/>
      <c r="E101" s="214"/>
      <c r="F101" s="407"/>
      <c r="G101" s="407"/>
      <c r="H101" s="407"/>
      <c r="I101" s="220"/>
      <c r="J101" s="220"/>
      <c r="K101" s="220"/>
      <c r="L101" s="212"/>
    </row>
    <row r="102" spans="1:12" ht="18" customHeight="1" x14ac:dyDescent="0.3">
      <c r="A102" s="211"/>
      <c r="B102" s="218"/>
      <c r="C102" s="409" t="s">
        <v>68</v>
      </c>
      <c r="D102" s="407"/>
      <c r="E102" s="407"/>
      <c r="F102" s="407"/>
      <c r="G102" s="407"/>
      <c r="H102" s="407"/>
      <c r="I102" s="220"/>
      <c r="J102" s="220"/>
      <c r="K102" s="220"/>
      <c r="L102" s="212"/>
    </row>
    <row r="103" spans="1:12" ht="18" customHeight="1" x14ac:dyDescent="0.3">
      <c r="A103" s="211"/>
      <c r="B103" s="218"/>
      <c r="C103" s="409" t="s">
        <v>69</v>
      </c>
      <c r="D103" s="407"/>
      <c r="E103" s="407"/>
      <c r="F103" s="407"/>
      <c r="G103" s="407"/>
      <c r="H103" s="407"/>
      <c r="I103" s="220"/>
      <c r="J103" s="220"/>
      <c r="K103" s="220"/>
      <c r="L103" s="212"/>
    </row>
    <row r="104" spans="1:12" ht="18" customHeight="1" x14ac:dyDescent="0.3">
      <c r="A104" s="211"/>
      <c r="B104" s="218"/>
      <c r="C104" s="409" t="s">
        <v>70</v>
      </c>
      <c r="D104" s="258"/>
      <c r="E104" s="258"/>
      <c r="F104" s="221"/>
      <c r="G104" s="221"/>
      <c r="L104" s="212"/>
    </row>
    <row r="105" spans="1:12" ht="18" customHeight="1" x14ac:dyDescent="0.3">
      <c r="A105" s="211"/>
      <c r="B105" s="218"/>
      <c r="C105" s="221"/>
      <c r="D105" s="257"/>
      <c r="E105" s="257"/>
      <c r="F105" s="214"/>
      <c r="G105" s="214"/>
      <c r="L105" s="212"/>
    </row>
    <row r="106" spans="1:12" ht="18" customHeight="1" x14ac:dyDescent="0.35">
      <c r="A106" s="211"/>
      <c r="B106" s="218"/>
      <c r="C106" s="454" t="s">
        <v>71</v>
      </c>
      <c r="D106" s="257"/>
      <c r="E106" s="257"/>
      <c r="F106" s="214"/>
      <c r="G106" s="214"/>
      <c r="L106" s="212"/>
    </row>
    <row r="107" spans="1:12" ht="18" customHeight="1" x14ac:dyDescent="0.3">
      <c r="A107" s="211"/>
      <c r="B107" s="218"/>
      <c r="C107" s="408" t="s">
        <v>72</v>
      </c>
      <c r="F107" s="407"/>
      <c r="G107" s="407"/>
      <c r="H107" s="407"/>
      <c r="I107" s="220"/>
      <c r="J107" s="220"/>
      <c r="K107" s="220"/>
      <c r="L107" s="212"/>
    </row>
    <row r="108" spans="1:12" ht="11.45" customHeight="1" x14ac:dyDescent="0.3">
      <c r="A108" s="211"/>
      <c r="B108" s="218"/>
      <c r="C108" s="407"/>
      <c r="F108" s="258"/>
      <c r="G108" s="258"/>
      <c r="H108" s="258"/>
      <c r="I108" s="258"/>
      <c r="J108" s="258"/>
      <c r="K108" s="258"/>
      <c r="L108" s="212"/>
    </row>
    <row r="109" spans="1:12" ht="18" customHeight="1" x14ac:dyDescent="0.3">
      <c r="A109" s="211"/>
      <c r="B109" s="218"/>
      <c r="C109" s="434" t="s">
        <v>73</v>
      </c>
      <c r="F109" s="257"/>
      <c r="G109" s="257"/>
      <c r="H109" s="257"/>
      <c r="I109" s="257"/>
      <c r="J109" s="257"/>
      <c r="K109" s="257"/>
      <c r="L109" s="212"/>
    </row>
    <row r="110" spans="1:12" ht="18" customHeight="1" x14ac:dyDescent="0.3">
      <c r="A110" s="211"/>
      <c r="B110" s="218"/>
      <c r="C110" s="398" t="s">
        <v>74</v>
      </c>
      <c r="F110" s="257"/>
      <c r="G110" s="257"/>
      <c r="H110" s="257"/>
      <c r="I110" s="257"/>
      <c r="J110" s="257"/>
      <c r="K110" s="257"/>
      <c r="L110" s="212"/>
    </row>
    <row r="111" spans="1:12" ht="18" customHeight="1" x14ac:dyDescent="0.3">
      <c r="A111" s="211"/>
      <c r="B111" s="218"/>
      <c r="C111" s="257"/>
      <c r="D111" s="221"/>
      <c r="F111" s="395" t="s">
        <v>75</v>
      </c>
      <c r="G111" s="396"/>
      <c r="I111" s="257"/>
      <c r="J111" s="257"/>
      <c r="K111" s="257"/>
      <c r="L111" s="212"/>
    </row>
    <row r="112" spans="1:12" ht="18" customHeight="1" x14ac:dyDescent="0.3">
      <c r="A112" s="211"/>
      <c r="B112" s="218"/>
      <c r="C112" s="257"/>
      <c r="D112" s="221"/>
      <c r="F112" s="259" t="str">
        <f>AMDEC!Z1</f>
        <v>0 - 249</v>
      </c>
      <c r="G112" s="259" t="s">
        <v>76</v>
      </c>
      <c r="I112" s="257"/>
      <c r="J112" s="257"/>
      <c r="K112" s="257"/>
      <c r="L112" s="212"/>
    </row>
    <row r="113" spans="1:12" ht="18" customHeight="1" x14ac:dyDescent="0.3">
      <c r="A113" s="211"/>
      <c r="B113" s="218"/>
      <c r="C113" s="257"/>
      <c r="D113" s="221"/>
      <c r="F113" s="260" t="str">
        <f>AMDEC!Z2</f>
        <v>250 - 499</v>
      </c>
      <c r="G113" s="260" t="s">
        <v>77</v>
      </c>
      <c r="I113" s="257"/>
      <c r="J113" s="257"/>
      <c r="K113" s="257"/>
      <c r="L113" s="212"/>
    </row>
    <row r="114" spans="1:12" ht="18" customHeight="1" x14ac:dyDescent="0.3">
      <c r="A114" s="211"/>
      <c r="B114" s="218"/>
      <c r="C114" s="257"/>
      <c r="F114" s="261" t="str">
        <f>AMDEC!Z4</f>
        <v>500 - 749</v>
      </c>
      <c r="G114" s="261" t="s">
        <v>78</v>
      </c>
      <c r="I114" s="257"/>
      <c r="J114" s="257"/>
      <c r="K114" s="257"/>
      <c r="L114" s="212"/>
    </row>
    <row r="115" spans="1:12" ht="18" customHeight="1" x14ac:dyDescent="0.3">
      <c r="A115" s="211"/>
      <c r="B115" s="218"/>
      <c r="C115" s="257"/>
      <c r="F115" s="262" t="str">
        <f>AMDEC!Z5</f>
        <v>750 - 1000</v>
      </c>
      <c r="G115" s="262" t="s">
        <v>79</v>
      </c>
      <c r="I115" s="257"/>
      <c r="J115" s="257"/>
      <c r="K115" s="257"/>
      <c r="L115" s="212"/>
    </row>
    <row r="116" spans="1:12" ht="18" customHeight="1" x14ac:dyDescent="0.3">
      <c r="A116" s="211"/>
      <c r="B116" s="218"/>
      <c r="C116" s="257"/>
      <c r="F116" s="221"/>
      <c r="G116" s="221"/>
      <c r="I116" s="257"/>
      <c r="J116" s="257"/>
      <c r="K116" s="257"/>
      <c r="L116" s="212"/>
    </row>
    <row r="117" spans="1:12" ht="18" customHeight="1" x14ac:dyDescent="0.45">
      <c r="A117" s="211"/>
      <c r="B117" s="448">
        <v>7</v>
      </c>
      <c r="C117" s="455" t="s">
        <v>80</v>
      </c>
      <c r="F117" s="221"/>
      <c r="G117" s="221"/>
      <c r="L117" s="212"/>
    </row>
    <row r="118" spans="1:12" ht="18" customHeight="1" x14ac:dyDescent="0.45">
      <c r="A118" s="211"/>
      <c r="B118" s="448"/>
      <c r="C118" s="453"/>
      <c r="F118" s="221"/>
      <c r="G118" s="221"/>
      <c r="L118" s="212"/>
    </row>
    <row r="119" spans="1:12" ht="18" customHeight="1" x14ac:dyDescent="0.45">
      <c r="A119" s="211"/>
      <c r="B119" s="448"/>
      <c r="C119" s="453"/>
      <c r="F119" s="221"/>
      <c r="G119" s="221"/>
      <c r="L119" s="212"/>
    </row>
    <row r="120" spans="1:12" ht="18" customHeight="1" x14ac:dyDescent="0.45">
      <c r="A120" s="211"/>
      <c r="B120" s="448"/>
      <c r="C120" s="453"/>
      <c r="F120" s="221"/>
      <c r="G120" s="221"/>
      <c r="L120" s="212"/>
    </row>
    <row r="121" spans="1:12" ht="18" customHeight="1" x14ac:dyDescent="0.45">
      <c r="A121" s="211"/>
      <c r="B121" s="448"/>
      <c r="C121" s="453"/>
      <c r="F121" s="221"/>
      <c r="G121" s="221"/>
      <c r="L121" s="212"/>
    </row>
    <row r="122" spans="1:12" x14ac:dyDescent="0.3">
      <c r="A122" s="211"/>
      <c r="B122" s="211"/>
      <c r="C122" s="211"/>
      <c r="D122" s="211"/>
      <c r="E122" s="211"/>
      <c r="F122" s="211"/>
      <c r="G122" s="211"/>
      <c r="H122" s="211"/>
      <c r="I122" s="211"/>
      <c r="J122" s="211"/>
      <c r="K122" s="211"/>
      <c r="L122" s="212"/>
    </row>
  </sheetData>
  <mergeCells count="7">
    <mergeCell ref="C97:J98"/>
    <mergeCell ref="C62:J62"/>
    <mergeCell ref="B3:C3"/>
    <mergeCell ref="B8:C8"/>
    <mergeCell ref="B1:I1"/>
    <mergeCell ref="B2:I2"/>
    <mergeCell ref="D34:G34"/>
  </mergeCells>
  <hyperlinks>
    <hyperlink ref="C5" location="'Risques et Actions'!A1" display="1. &quot;Pilotage risques et actions&quot;" xr:uid="{FB701CB0-194A-4FF8-BCAC-58CC69125651}"/>
    <hyperlink ref="C6" location="AMDEC!A1" display="2. &quot;AMDEC&quot;" xr:uid="{12C6D55B-DE74-4718-8EBF-A9430C2A01CB}"/>
    <hyperlink ref="C12" location="Introduction!A1" display="Introduction" xr:uid="{BFB5EFE5-4A86-4187-99EB-C78E538C7D1C}"/>
    <hyperlink ref="C15" location="'Aide aux risques'!A1" display="Aide aux risques" xr:uid="{8E97CCB9-0FF6-4573-BD4D-E0E064A56FD2}"/>
    <hyperlink ref="C19:H19" location="'Risques et actions'!A1" display="Risques et actions" xr:uid="{B33D1679-DE9C-49C4-8166-06CE93D93D33}"/>
    <hyperlink ref="C91" location="AMDEC!A1" display="AMDEC (FMEA)" xr:uid="{5F9BC3D9-456F-4D70-A1EC-92524DE7A99B}"/>
    <hyperlink ref="C88" location="'Facteurs de notation (AMDEC)'!A1" display="Facteurs de notation (AMDEC)" xr:uid="{ED05F205-A1EB-4885-962E-0BE093F97CFD}"/>
    <hyperlink ref="C117" location="'AMDEC Rapport'!A1" display="AMDEC Rapport" xr:uid="{5668F91B-C5E8-4729-A962-EAB69890E0EA}"/>
    <hyperlink ref="C85" location="Dashboards!A1" display="Dashboards" xr:uid="{E24EA189-1FE7-45E0-91B6-CF66949C0408}"/>
  </hyperlinks>
  <pageMargins left="0.70866141732283472" right="0.70866141732283472" top="0.94488188976377963" bottom="0.74803149606299213" header="0.31496062992125984" footer="0.31496062992125984"/>
  <pageSetup paperSize="9" scale="48" orientation="portrait" r:id="rId1"/>
  <headerFooter>
    <oddHeader xml:space="preserve">&amp;L&amp;G&amp;C&amp;"Lato,Normal"Matrices de pilotage des risques&amp;R&amp;"Lato,Normal"Enregistrement 
Réf. :ENR-QUA-10 
Indice :3.0
Confidentialité : Restreint   </oddHeader>
  </headerFooter>
  <rowBreaks count="1" manualBreakCount="1">
    <brk id="83"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85D9-59CF-403F-B870-DC6C16C644AF}">
  <sheetPr>
    <tabColor theme="7" tint="0.79998168889431442"/>
    <pageSetUpPr fitToPage="1"/>
  </sheetPr>
  <dimension ref="A1:M91"/>
  <sheetViews>
    <sheetView showGridLines="0" view="pageLayout" topLeftCell="A35" zoomScaleNormal="100" zoomScaleSheetLayoutView="40" workbookViewId="0">
      <selection activeCell="N4" sqref="N4"/>
    </sheetView>
  </sheetViews>
  <sheetFormatPr baseColWidth="10" defaultColWidth="15.85546875" defaultRowHeight="14.25" x14ac:dyDescent="0.3"/>
  <cols>
    <col min="1" max="2" width="2.5703125" style="213" customWidth="1"/>
    <col min="3" max="12" width="13.140625" style="213" customWidth="1"/>
    <col min="13" max="13" width="2.7109375" style="213" customWidth="1"/>
    <col min="14" max="16384" width="15.85546875" style="213"/>
  </cols>
  <sheetData>
    <row r="1" spans="1:13" ht="22.15" customHeight="1" x14ac:dyDescent="0.3">
      <c r="A1" s="211"/>
      <c r="B1" s="211"/>
      <c r="C1" s="520" t="s">
        <v>81</v>
      </c>
      <c r="D1" s="520"/>
      <c r="E1" s="520"/>
      <c r="F1" s="520"/>
      <c r="G1" s="520"/>
      <c r="H1" s="520"/>
      <c r="I1" s="520"/>
      <c r="J1" s="520"/>
      <c r="K1" s="520"/>
      <c r="L1" s="520"/>
      <c r="M1" s="212"/>
    </row>
    <row r="2" spans="1:13" ht="18" customHeight="1" x14ac:dyDescent="0.3">
      <c r="A2" s="211"/>
      <c r="B2" s="221"/>
      <c r="C2" s="439"/>
      <c r="D2" s="439"/>
      <c r="E2" s="439"/>
      <c r="F2" s="439"/>
      <c r="G2" s="439"/>
      <c r="H2" s="439"/>
      <c r="I2" s="439"/>
      <c r="J2" s="439"/>
      <c r="K2" s="439"/>
      <c r="L2" s="439"/>
      <c r="M2" s="212"/>
    </row>
    <row r="3" spans="1:13" ht="19.899999999999999" customHeight="1" x14ac:dyDescent="0.4">
      <c r="A3" s="211"/>
      <c r="B3" s="221"/>
      <c r="C3" s="522" t="s">
        <v>82</v>
      </c>
      <c r="D3" s="522"/>
      <c r="E3" s="522"/>
      <c r="F3" s="522"/>
      <c r="G3" s="522"/>
      <c r="H3" s="522"/>
      <c r="I3" s="522"/>
      <c r="J3" s="522"/>
      <c r="K3" s="522"/>
      <c r="L3" s="522"/>
      <c r="M3" s="212"/>
    </row>
    <row r="4" spans="1:13" ht="15" customHeight="1" x14ac:dyDescent="0.3">
      <c r="A4" s="211"/>
      <c r="B4" s="221"/>
      <c r="C4" s="521" t="s">
        <v>83</v>
      </c>
      <c r="D4" s="521"/>
      <c r="E4" s="521"/>
      <c r="F4" s="521"/>
      <c r="G4" s="521"/>
      <c r="H4" s="521"/>
      <c r="I4" s="521"/>
      <c r="J4" s="521"/>
      <c r="K4" s="521"/>
      <c r="L4" s="521"/>
      <c r="M4" s="212"/>
    </row>
    <row r="5" spans="1:13" ht="15" customHeight="1" x14ac:dyDescent="0.3">
      <c r="A5" s="211"/>
      <c r="B5" s="221"/>
      <c r="C5" s="430" t="s">
        <v>84</v>
      </c>
      <c r="D5" s="430"/>
      <c r="E5" s="430"/>
      <c r="F5" s="430"/>
      <c r="G5" s="430"/>
      <c r="H5" s="430"/>
      <c r="I5" s="430"/>
      <c r="J5" s="430"/>
      <c r="K5" s="430"/>
      <c r="L5" s="430"/>
      <c r="M5" s="212"/>
    </row>
    <row r="6" spans="1:13" ht="15" customHeight="1" x14ac:dyDescent="0.3">
      <c r="A6" s="211"/>
      <c r="B6" s="221"/>
      <c r="C6" s="430"/>
      <c r="D6" s="430"/>
      <c r="E6" s="430"/>
      <c r="F6" s="430"/>
      <c r="G6" s="430"/>
      <c r="H6" s="430"/>
      <c r="I6" s="430"/>
      <c r="J6" s="430"/>
      <c r="K6" s="430"/>
      <c r="L6" s="430"/>
      <c r="M6" s="212"/>
    </row>
    <row r="7" spans="1:13" ht="24.75" customHeight="1" x14ac:dyDescent="0.4">
      <c r="A7" s="211"/>
      <c r="B7" s="221"/>
      <c r="C7" s="522" t="s">
        <v>85</v>
      </c>
      <c r="D7" s="522"/>
      <c r="E7" s="522"/>
      <c r="F7" s="522"/>
      <c r="G7" s="522"/>
      <c r="H7" s="522"/>
      <c r="I7" s="522"/>
      <c r="J7" s="522"/>
      <c r="K7" s="522"/>
      <c r="L7" s="522"/>
      <c r="M7" s="212"/>
    </row>
    <row r="8" spans="1:13" ht="15" customHeight="1" x14ac:dyDescent="0.3">
      <c r="A8" s="211"/>
      <c r="B8" s="221"/>
      <c r="M8" s="212"/>
    </row>
    <row r="9" spans="1:13" ht="15" customHeight="1" x14ac:dyDescent="0.3">
      <c r="A9" s="211"/>
      <c r="B9" s="221"/>
      <c r="M9" s="212"/>
    </row>
    <row r="10" spans="1:13" ht="15" customHeight="1" x14ac:dyDescent="0.3">
      <c r="A10" s="211"/>
      <c r="B10" s="221"/>
      <c r="M10" s="212"/>
    </row>
    <row r="11" spans="1:13" ht="15" customHeight="1" x14ac:dyDescent="0.3">
      <c r="A11" s="211"/>
      <c r="B11" s="221"/>
      <c r="M11" s="212"/>
    </row>
    <row r="12" spans="1:13" ht="13.9" customHeight="1" x14ac:dyDescent="0.3">
      <c r="A12" s="211"/>
      <c r="B12" s="221"/>
      <c r="M12" s="212"/>
    </row>
    <row r="13" spans="1:13" ht="13.9" customHeight="1" x14ac:dyDescent="0.3">
      <c r="A13" s="211"/>
      <c r="B13" s="221"/>
      <c r="M13" s="212"/>
    </row>
    <row r="14" spans="1:13" ht="13.9" customHeight="1" x14ac:dyDescent="0.3">
      <c r="A14" s="211"/>
      <c r="B14" s="221"/>
      <c r="M14" s="212"/>
    </row>
    <row r="15" spans="1:13" ht="13.9" customHeight="1" x14ac:dyDescent="0.3">
      <c r="A15" s="211"/>
      <c r="B15" s="221"/>
      <c r="M15" s="212"/>
    </row>
    <row r="16" spans="1:13" ht="13.9" customHeight="1" x14ac:dyDescent="0.3">
      <c r="A16" s="211"/>
      <c r="B16" s="221"/>
      <c r="M16" s="212"/>
    </row>
    <row r="17" spans="1:13" ht="13.9" customHeight="1" x14ac:dyDescent="0.3">
      <c r="A17" s="211"/>
      <c r="B17" s="221"/>
      <c r="M17" s="212"/>
    </row>
    <row r="18" spans="1:13" ht="13.9" customHeight="1" x14ac:dyDescent="0.3">
      <c r="A18" s="211"/>
      <c r="B18" s="221"/>
      <c r="M18" s="212"/>
    </row>
    <row r="19" spans="1:13" ht="13.9" customHeight="1" x14ac:dyDescent="0.3">
      <c r="A19" s="211"/>
      <c r="B19" s="221"/>
      <c r="M19" s="212"/>
    </row>
    <row r="20" spans="1:13" ht="13.9" customHeight="1" x14ac:dyDescent="0.3">
      <c r="A20" s="211"/>
      <c r="B20" s="221"/>
      <c r="M20" s="212"/>
    </row>
    <row r="21" spans="1:13" ht="13.9" customHeight="1" x14ac:dyDescent="0.3">
      <c r="A21" s="211"/>
      <c r="B21" s="221"/>
      <c r="M21" s="212"/>
    </row>
    <row r="22" spans="1:13" ht="13.9" customHeight="1" x14ac:dyDescent="0.3">
      <c r="A22" s="211"/>
      <c r="B22" s="221"/>
      <c r="M22" s="212"/>
    </row>
    <row r="23" spans="1:13" ht="13.9" customHeight="1" x14ac:dyDescent="0.3">
      <c r="A23" s="211"/>
      <c r="B23" s="221"/>
      <c r="M23" s="212"/>
    </row>
    <row r="24" spans="1:13" ht="13.9" customHeight="1" x14ac:dyDescent="0.3">
      <c r="A24" s="211"/>
      <c r="B24" s="221"/>
      <c r="M24" s="212"/>
    </row>
    <row r="25" spans="1:13" ht="13.9" customHeight="1" x14ac:dyDescent="0.3">
      <c r="A25" s="211"/>
      <c r="B25" s="221"/>
      <c r="C25" s="523" t="s">
        <v>86</v>
      </c>
      <c r="D25" s="523"/>
      <c r="E25" s="523"/>
      <c r="F25" s="523"/>
      <c r="G25" s="523"/>
      <c r="H25" s="523"/>
      <c r="I25" s="523"/>
      <c r="J25" s="523"/>
      <c r="K25" s="523"/>
      <c r="L25" s="523"/>
      <c r="M25" s="212"/>
    </row>
    <row r="26" spans="1:13" ht="13.9" customHeight="1" x14ac:dyDescent="0.3">
      <c r="A26" s="211"/>
      <c r="B26" s="221"/>
      <c r="M26" s="212"/>
    </row>
    <row r="27" spans="1:13" ht="13.9" customHeight="1" x14ac:dyDescent="0.3">
      <c r="A27" s="211"/>
      <c r="B27" s="221"/>
      <c r="M27" s="212"/>
    </row>
    <row r="28" spans="1:13" ht="13.9" customHeight="1" x14ac:dyDescent="0.3">
      <c r="A28" s="211"/>
      <c r="B28" s="221"/>
      <c r="D28" s="215"/>
      <c r="E28" s="215"/>
      <c r="F28" s="215"/>
      <c r="G28" s="215"/>
      <c r="H28" s="215"/>
      <c r="I28" s="215"/>
      <c r="J28" s="215"/>
      <c r="K28" s="215"/>
      <c r="L28" s="215"/>
      <c r="M28" s="212"/>
    </row>
    <row r="29" spans="1:13" ht="13.9" customHeight="1" x14ac:dyDescent="0.3">
      <c r="A29" s="211"/>
      <c r="B29" s="221"/>
      <c r="D29" s="215"/>
      <c r="E29" s="215"/>
      <c r="F29" s="215"/>
      <c r="G29" s="215"/>
      <c r="H29" s="215"/>
      <c r="I29" s="215"/>
      <c r="J29" s="215"/>
      <c r="K29" s="215"/>
      <c r="L29" s="215"/>
      <c r="M29" s="212"/>
    </row>
    <row r="30" spans="1:13" ht="13.9" customHeight="1" x14ac:dyDescent="0.3">
      <c r="A30" s="211"/>
      <c r="B30" s="221"/>
      <c r="D30" s="215"/>
      <c r="E30" s="215"/>
      <c r="F30" s="215"/>
      <c r="G30" s="215"/>
      <c r="H30" s="215"/>
      <c r="I30" s="215"/>
      <c r="J30" s="215"/>
      <c r="K30" s="215"/>
      <c r="L30" s="215"/>
      <c r="M30" s="212"/>
    </row>
    <row r="31" spans="1:13" ht="13.9" customHeight="1" x14ac:dyDescent="0.3">
      <c r="A31" s="211"/>
      <c r="B31" s="221"/>
      <c r="D31" s="215"/>
      <c r="E31" s="215"/>
      <c r="F31" s="215"/>
      <c r="G31" s="215"/>
      <c r="H31" s="215"/>
      <c r="I31" s="215"/>
      <c r="J31" s="215"/>
      <c r="K31" s="215"/>
      <c r="L31" s="215"/>
      <c r="M31" s="212"/>
    </row>
    <row r="32" spans="1:13" ht="13.9" customHeight="1" x14ac:dyDescent="0.3">
      <c r="A32" s="211"/>
      <c r="B32" s="221"/>
      <c r="D32" s="215"/>
      <c r="E32" s="215"/>
      <c r="F32" s="215"/>
      <c r="G32" s="215"/>
      <c r="H32" s="215"/>
      <c r="I32" s="215"/>
      <c r="J32" s="215"/>
      <c r="K32" s="215"/>
      <c r="L32" s="215"/>
      <c r="M32" s="212"/>
    </row>
    <row r="33" spans="1:13" ht="13.9" customHeight="1" x14ac:dyDescent="0.3">
      <c r="A33" s="211"/>
      <c r="B33" s="221"/>
      <c r="D33" s="215"/>
      <c r="E33" s="215"/>
      <c r="F33" s="215"/>
      <c r="G33" s="215"/>
      <c r="H33" s="215"/>
      <c r="I33" s="215"/>
      <c r="J33" s="215"/>
      <c r="K33" s="215"/>
      <c r="L33" s="215"/>
      <c r="M33" s="212"/>
    </row>
    <row r="34" spans="1:13" ht="13.9" customHeight="1" x14ac:dyDescent="0.3">
      <c r="A34" s="211"/>
      <c r="B34" s="221"/>
      <c r="D34" s="215"/>
      <c r="E34" s="215"/>
      <c r="F34" s="215"/>
      <c r="G34" s="215"/>
      <c r="H34" s="215"/>
      <c r="I34" s="215"/>
      <c r="J34" s="215"/>
      <c r="K34" s="215"/>
      <c r="L34" s="215"/>
      <c r="M34" s="212"/>
    </row>
    <row r="35" spans="1:13" ht="13.9" customHeight="1" x14ac:dyDescent="0.3">
      <c r="A35" s="211"/>
      <c r="B35" s="221"/>
      <c r="D35" s="215"/>
      <c r="E35" s="215"/>
      <c r="F35" s="215"/>
      <c r="G35" s="215"/>
      <c r="H35" s="215"/>
      <c r="I35" s="215"/>
      <c r="J35" s="215"/>
      <c r="K35" s="215"/>
      <c r="L35" s="215"/>
      <c r="M35" s="212"/>
    </row>
    <row r="36" spans="1:13" ht="13.9" customHeight="1" x14ac:dyDescent="0.3">
      <c r="A36" s="211"/>
      <c r="B36" s="221"/>
      <c r="D36" s="215"/>
      <c r="E36" s="215"/>
      <c r="F36" s="215"/>
      <c r="G36" s="215"/>
      <c r="H36" s="215"/>
      <c r="I36" s="215"/>
      <c r="J36" s="215"/>
      <c r="K36" s="215"/>
      <c r="L36" s="215"/>
      <c r="M36" s="212"/>
    </row>
    <row r="37" spans="1:13" ht="13.9" customHeight="1" x14ac:dyDescent="0.3">
      <c r="A37" s="211"/>
      <c r="B37" s="221"/>
      <c r="M37" s="212"/>
    </row>
    <row r="38" spans="1:13" ht="13.9" customHeight="1" x14ac:dyDescent="0.3">
      <c r="A38" s="211"/>
      <c r="B38" s="221"/>
      <c r="C38" s="524" t="s">
        <v>87</v>
      </c>
      <c r="D38" s="524"/>
      <c r="E38" s="524"/>
      <c r="F38" s="524"/>
      <c r="G38" s="524"/>
      <c r="H38" s="524"/>
      <c r="I38" s="524"/>
      <c r="J38" s="524"/>
      <c r="K38" s="524"/>
      <c r="L38" s="524"/>
      <c r="M38" s="212"/>
    </row>
    <row r="39" spans="1:13" ht="13.9" customHeight="1" x14ac:dyDescent="0.3">
      <c r="A39" s="211"/>
      <c r="B39" s="221"/>
      <c r="M39" s="212"/>
    </row>
    <row r="40" spans="1:13" ht="13.9" customHeight="1" x14ac:dyDescent="0.3">
      <c r="A40" s="211"/>
      <c r="B40" s="221"/>
      <c r="D40" s="215"/>
      <c r="E40" s="215"/>
      <c r="F40" s="215"/>
      <c r="G40" s="215"/>
      <c r="H40" s="215"/>
      <c r="I40" s="215"/>
      <c r="J40" s="215"/>
      <c r="K40" s="215"/>
      <c r="M40" s="212"/>
    </row>
    <row r="41" spans="1:13" ht="13.9" customHeight="1" x14ac:dyDescent="0.3">
      <c r="A41" s="211"/>
      <c r="B41" s="221"/>
      <c r="C41" s="215"/>
      <c r="D41" s="215"/>
      <c r="E41" s="215"/>
      <c r="F41" s="215"/>
      <c r="G41" s="215"/>
      <c r="H41" s="215"/>
      <c r="I41" s="215"/>
      <c r="J41" s="215"/>
      <c r="K41" s="215"/>
      <c r="L41" s="215"/>
      <c r="M41" s="212"/>
    </row>
    <row r="42" spans="1:13" ht="13.9" customHeight="1" x14ac:dyDescent="0.3">
      <c r="A42" s="211"/>
      <c r="B42" s="221"/>
      <c r="C42" s="525" t="s">
        <v>88</v>
      </c>
      <c r="D42" s="525"/>
      <c r="E42" s="525"/>
      <c r="F42" s="525"/>
      <c r="G42" s="525"/>
      <c r="H42" s="525"/>
      <c r="I42" s="525"/>
      <c r="J42" s="525"/>
      <c r="K42" s="525"/>
      <c r="L42" s="525"/>
      <c r="M42" s="212"/>
    </row>
    <row r="43" spans="1:13" ht="13.9" customHeight="1" x14ac:dyDescent="0.3">
      <c r="A43" s="211"/>
      <c r="B43" s="221"/>
      <c r="C43" s="386" t="s">
        <v>89</v>
      </c>
      <c r="D43" s="217"/>
      <c r="E43" s="217"/>
      <c r="F43" s="217"/>
      <c r="G43" s="217"/>
      <c r="H43" s="217"/>
      <c r="I43" s="217"/>
      <c r="J43" s="217"/>
      <c r="K43" s="217"/>
      <c r="M43" s="212"/>
    </row>
    <row r="44" spans="1:13" ht="13.9" customHeight="1" x14ac:dyDescent="0.3">
      <c r="A44" s="211"/>
      <c r="B44" s="221"/>
      <c r="C44" s="386" t="s">
        <v>90</v>
      </c>
      <c r="D44" s="215"/>
      <c r="E44" s="215"/>
      <c r="F44" s="215"/>
      <c r="G44" s="215"/>
      <c r="H44" s="215"/>
      <c r="I44" s="215"/>
      <c r="J44" s="215"/>
      <c r="K44" s="215"/>
      <c r="M44" s="212"/>
    </row>
    <row r="45" spans="1:13" ht="13.9" customHeight="1" x14ac:dyDescent="0.3">
      <c r="A45" s="211"/>
      <c r="B45" s="221"/>
      <c r="C45" s="216"/>
      <c r="D45" s="217"/>
      <c r="E45" s="215"/>
      <c r="F45" s="215"/>
      <c r="G45" s="215"/>
      <c r="H45" s="215"/>
      <c r="I45" s="215"/>
      <c r="J45" s="215"/>
      <c r="K45" s="215"/>
      <c r="L45" s="215"/>
      <c r="M45" s="212"/>
    </row>
    <row r="46" spans="1:13" ht="13.9" customHeight="1" x14ac:dyDescent="0.3">
      <c r="A46" s="211"/>
      <c r="B46" s="221"/>
      <c r="C46" s="523" t="s">
        <v>91</v>
      </c>
      <c r="D46" s="523"/>
      <c r="E46" s="523"/>
      <c r="F46" s="523"/>
      <c r="G46" s="523"/>
      <c r="H46" s="523"/>
      <c r="I46" s="523"/>
      <c r="J46" s="523"/>
      <c r="K46" s="523"/>
      <c r="L46" s="523"/>
      <c r="M46" s="212"/>
    </row>
    <row r="47" spans="1:13" ht="13.9" customHeight="1" x14ac:dyDescent="0.3">
      <c r="A47" s="211"/>
      <c r="B47" s="221"/>
      <c r="C47" s="385" t="s">
        <v>92</v>
      </c>
      <c r="D47" s="215"/>
      <c r="E47" s="215"/>
      <c r="F47" s="215"/>
      <c r="G47" s="215"/>
      <c r="H47" s="215"/>
      <c r="I47" s="215"/>
      <c r="J47" s="215"/>
      <c r="K47" s="215"/>
      <c r="M47" s="212"/>
    </row>
    <row r="48" spans="1:13" ht="13.9" customHeight="1" x14ac:dyDescent="0.3">
      <c r="A48" s="211"/>
      <c r="B48" s="221"/>
      <c r="M48" s="212"/>
    </row>
    <row r="49" spans="1:13" ht="13.9" customHeight="1" x14ac:dyDescent="0.3">
      <c r="A49" s="211"/>
      <c r="B49" s="221"/>
      <c r="C49" s="216" t="s">
        <v>93</v>
      </c>
      <c r="M49" s="212"/>
    </row>
    <row r="50" spans="1:13" ht="13.9" customHeight="1" x14ac:dyDescent="0.3">
      <c r="A50" s="211"/>
      <c r="B50" s="221"/>
      <c r="M50" s="212"/>
    </row>
    <row r="51" spans="1:13" ht="13.9" customHeight="1" x14ac:dyDescent="0.3">
      <c r="A51" s="211"/>
      <c r="B51" s="221"/>
      <c r="M51" s="212"/>
    </row>
    <row r="52" spans="1:13" ht="13.9" customHeight="1" x14ac:dyDescent="0.3">
      <c r="A52" s="211"/>
      <c r="B52" s="221"/>
      <c r="M52" s="212"/>
    </row>
    <row r="53" spans="1:13" ht="13.9" customHeight="1" x14ac:dyDescent="0.3">
      <c r="A53" s="211"/>
      <c r="B53" s="221"/>
      <c r="M53" s="212"/>
    </row>
    <row r="54" spans="1:13" ht="13.9" customHeight="1" x14ac:dyDescent="0.3">
      <c r="A54" s="211"/>
      <c r="B54" s="221"/>
      <c r="M54" s="212"/>
    </row>
    <row r="55" spans="1:13" ht="13.9" customHeight="1" x14ac:dyDescent="0.3">
      <c r="A55" s="211"/>
      <c r="B55" s="221"/>
      <c r="M55" s="212"/>
    </row>
    <row r="56" spans="1:13" ht="13.9" customHeight="1" x14ac:dyDescent="0.3">
      <c r="A56" s="211"/>
      <c r="B56" s="221"/>
      <c r="M56" s="212"/>
    </row>
    <row r="57" spans="1:13" ht="13.9" customHeight="1" x14ac:dyDescent="0.3">
      <c r="A57" s="211"/>
      <c r="B57" s="221"/>
      <c r="C57" s="216" t="s">
        <v>94</v>
      </c>
      <c r="D57" s="216"/>
      <c r="E57" s="216"/>
      <c r="M57" s="212"/>
    </row>
    <row r="58" spans="1:13" ht="13.9" customHeight="1" x14ac:dyDescent="0.3">
      <c r="A58" s="211"/>
      <c r="B58" s="221"/>
      <c r="C58" s="216"/>
      <c r="M58" s="212"/>
    </row>
    <row r="59" spans="1:13" ht="13.9" customHeight="1" x14ac:dyDescent="0.3">
      <c r="A59" s="211"/>
      <c r="B59" s="221"/>
      <c r="C59" s="216"/>
      <c r="M59" s="212"/>
    </row>
    <row r="60" spans="1:13" ht="13.9" customHeight="1" x14ac:dyDescent="0.3">
      <c r="A60" s="211"/>
      <c r="B60" s="221"/>
      <c r="C60" s="216"/>
      <c r="M60" s="212"/>
    </row>
    <row r="61" spans="1:13" ht="13.9" customHeight="1" x14ac:dyDescent="0.3">
      <c r="A61" s="211"/>
      <c r="B61" s="221"/>
      <c r="C61" s="216"/>
      <c r="M61" s="212"/>
    </row>
    <row r="62" spans="1:13" ht="13.9" customHeight="1" x14ac:dyDescent="0.3">
      <c r="A62" s="211"/>
      <c r="B62" s="221"/>
      <c r="C62" s="216"/>
      <c r="M62" s="212"/>
    </row>
    <row r="63" spans="1:13" ht="13.9" customHeight="1" x14ac:dyDescent="0.3">
      <c r="A63" s="211"/>
      <c r="B63" s="221"/>
      <c r="C63" s="216"/>
      <c r="M63" s="212"/>
    </row>
    <row r="64" spans="1:13" ht="13.9" customHeight="1" x14ac:dyDescent="0.3">
      <c r="A64" s="211"/>
      <c r="B64" s="221"/>
      <c r="C64" s="216"/>
      <c r="M64" s="212"/>
    </row>
    <row r="65" spans="1:13" ht="13.9" customHeight="1" x14ac:dyDescent="0.3">
      <c r="A65" s="211"/>
      <c r="B65" s="221"/>
      <c r="C65" s="216"/>
      <c r="M65" s="212"/>
    </row>
    <row r="66" spans="1:13" ht="13.9" customHeight="1" x14ac:dyDescent="0.3">
      <c r="A66" s="211"/>
      <c r="B66" s="221"/>
      <c r="C66" s="216"/>
      <c r="M66" s="212"/>
    </row>
    <row r="67" spans="1:13" ht="13.9" customHeight="1" x14ac:dyDescent="0.3">
      <c r="A67" s="211"/>
      <c r="B67" s="221"/>
      <c r="C67" s="216"/>
      <c r="M67" s="212"/>
    </row>
    <row r="68" spans="1:13" ht="13.9" customHeight="1" x14ac:dyDescent="0.3">
      <c r="A68" s="211"/>
      <c r="B68" s="221"/>
      <c r="C68" s="216"/>
      <c r="M68" s="212"/>
    </row>
    <row r="69" spans="1:13" ht="13.9" customHeight="1" x14ac:dyDescent="0.3">
      <c r="A69" s="211"/>
      <c r="B69" s="221"/>
      <c r="C69" s="216"/>
      <c r="M69" s="212"/>
    </row>
    <row r="70" spans="1:13" ht="13.9" customHeight="1" x14ac:dyDescent="0.3">
      <c r="A70" s="211"/>
      <c r="B70" s="221"/>
      <c r="C70" s="216" t="s">
        <v>95</v>
      </c>
      <c r="D70" s="216"/>
      <c r="E70" s="216"/>
      <c r="F70" s="216"/>
      <c r="G70" s="216"/>
      <c r="M70" s="212"/>
    </row>
    <row r="71" spans="1:13" ht="13.9" customHeight="1" x14ac:dyDescent="0.3">
      <c r="A71" s="211"/>
      <c r="B71" s="221"/>
      <c r="C71" s="385" t="s">
        <v>96</v>
      </c>
      <c r="D71" s="385"/>
      <c r="E71" s="385"/>
      <c r="F71" s="385"/>
      <c r="G71" s="385"/>
      <c r="H71" s="385"/>
      <c r="I71" s="385"/>
      <c r="J71" s="385"/>
      <c r="K71" s="385"/>
      <c r="M71" s="212"/>
    </row>
    <row r="72" spans="1:13" ht="13.9" customHeight="1" x14ac:dyDescent="0.3">
      <c r="A72" s="211"/>
      <c r="B72" s="221"/>
      <c r="C72" s="216"/>
      <c r="M72" s="212"/>
    </row>
    <row r="73" spans="1:13" ht="13.9" customHeight="1" x14ac:dyDescent="0.3">
      <c r="A73" s="211"/>
      <c r="B73" s="221"/>
      <c r="C73" s="523" t="s">
        <v>97</v>
      </c>
      <c r="D73" s="523"/>
      <c r="E73" s="523"/>
      <c r="F73" s="523"/>
      <c r="G73" s="523"/>
      <c r="H73" s="523"/>
      <c r="I73" s="523"/>
      <c r="J73" s="523"/>
      <c r="K73" s="523"/>
      <c r="L73" s="523"/>
      <c r="M73" s="212"/>
    </row>
    <row r="74" spans="1:13" ht="13.9" customHeight="1" x14ac:dyDescent="0.3">
      <c r="A74" s="211"/>
      <c r="B74" s="221"/>
      <c r="C74" s="523"/>
      <c r="D74" s="523"/>
      <c r="E74" s="523"/>
      <c r="F74" s="523"/>
      <c r="G74" s="523"/>
      <c r="H74" s="523"/>
      <c r="I74" s="523"/>
      <c r="J74" s="523"/>
      <c r="K74" s="523"/>
      <c r="L74" s="523"/>
      <c r="M74" s="212"/>
    </row>
    <row r="75" spans="1:13" ht="13.9" customHeight="1" x14ac:dyDescent="0.3">
      <c r="A75" s="211"/>
      <c r="B75" s="221"/>
      <c r="C75" s="216"/>
      <c r="M75" s="212"/>
    </row>
    <row r="76" spans="1:13" ht="13.9" customHeight="1" x14ac:dyDescent="0.3">
      <c r="A76" s="211"/>
      <c r="B76" s="221"/>
      <c r="C76" s="216"/>
      <c r="M76" s="212"/>
    </row>
    <row r="77" spans="1:13" ht="13.9" customHeight="1" x14ac:dyDescent="0.3">
      <c r="A77" s="211"/>
      <c r="B77" s="221"/>
      <c r="M77" s="212"/>
    </row>
    <row r="78" spans="1:13" ht="13.9" customHeight="1" x14ac:dyDescent="0.3">
      <c r="A78" s="211"/>
      <c r="B78" s="221"/>
      <c r="M78" s="212"/>
    </row>
    <row r="79" spans="1:13" ht="13.9" customHeight="1" x14ac:dyDescent="0.3">
      <c r="A79" s="211"/>
      <c r="B79" s="221"/>
      <c r="M79" s="212"/>
    </row>
    <row r="80" spans="1:13" ht="13.9" customHeight="1" x14ac:dyDescent="0.3">
      <c r="A80" s="211"/>
      <c r="B80" s="221"/>
      <c r="M80" s="212"/>
    </row>
    <row r="81" spans="1:13" ht="13.9" customHeight="1" x14ac:dyDescent="0.3">
      <c r="A81" s="211"/>
      <c r="B81" s="221"/>
      <c r="M81" s="212"/>
    </row>
    <row r="82" spans="1:13" ht="13.9" customHeight="1" x14ac:dyDescent="0.3">
      <c r="A82" s="211"/>
      <c r="B82" s="221"/>
      <c r="M82" s="212"/>
    </row>
    <row r="83" spans="1:13" ht="13.9" customHeight="1" x14ac:dyDescent="0.3">
      <c r="A83" s="211"/>
      <c r="B83" s="221"/>
      <c r="M83" s="212"/>
    </row>
    <row r="84" spans="1:13" ht="13.9" customHeight="1" x14ac:dyDescent="0.3">
      <c r="A84" s="211"/>
      <c r="B84" s="221"/>
      <c r="C84" s="216"/>
      <c r="M84" s="212"/>
    </row>
    <row r="85" spans="1:13" ht="13.9" customHeight="1" x14ac:dyDescent="0.3">
      <c r="A85" s="211"/>
      <c r="B85" s="221"/>
      <c r="D85" s="388"/>
      <c r="E85" s="388"/>
      <c r="F85" s="388"/>
      <c r="G85" s="388"/>
      <c r="H85" s="388"/>
      <c r="I85" s="388"/>
      <c r="J85" s="388"/>
      <c r="K85" s="388"/>
      <c r="L85" s="388"/>
      <c r="M85" s="212"/>
    </row>
    <row r="86" spans="1:13" ht="13.9" customHeight="1" x14ac:dyDescent="0.3">
      <c r="A86" s="211"/>
      <c r="B86" s="221"/>
      <c r="C86" s="387" t="s">
        <v>98</v>
      </c>
      <c r="D86" s="388"/>
      <c r="E86" s="388"/>
      <c r="F86" s="388"/>
      <c r="G86" s="388"/>
      <c r="H86" s="388"/>
      <c r="I86" s="388"/>
      <c r="J86" s="388"/>
      <c r="K86" s="388"/>
      <c r="L86" s="388"/>
      <c r="M86" s="212"/>
    </row>
    <row r="87" spans="1:13" ht="13.9" customHeight="1" x14ac:dyDescent="0.3">
      <c r="A87" s="211"/>
      <c r="B87" s="221"/>
      <c r="C87" s="387"/>
      <c r="D87" s="388"/>
      <c r="E87" s="388"/>
      <c r="F87" s="388"/>
      <c r="G87" s="388"/>
      <c r="H87" s="388"/>
      <c r="I87" s="388"/>
      <c r="J87" s="388"/>
      <c r="K87" s="388"/>
      <c r="L87" s="388"/>
      <c r="M87" s="212"/>
    </row>
    <row r="88" spans="1:13" ht="13.9" customHeight="1" x14ac:dyDescent="0.3">
      <c r="A88" s="211"/>
      <c r="B88" s="221"/>
      <c r="C88" s="387"/>
      <c r="D88" s="388"/>
      <c r="E88" s="388"/>
      <c r="F88" s="388"/>
      <c r="G88" s="388"/>
      <c r="H88" s="388"/>
      <c r="I88" s="388"/>
      <c r="J88" s="388"/>
      <c r="K88" s="388"/>
      <c r="L88" s="388"/>
      <c r="M88" s="212"/>
    </row>
    <row r="89" spans="1:13" ht="13.9" customHeight="1" x14ac:dyDescent="0.3">
      <c r="A89" s="211"/>
      <c r="B89" s="221"/>
      <c r="C89" s="387"/>
      <c r="D89" s="388"/>
      <c r="E89" s="388"/>
      <c r="F89" s="388"/>
      <c r="G89" s="388"/>
      <c r="H89" s="388"/>
      <c r="I89" s="388"/>
      <c r="J89" s="388"/>
      <c r="K89" s="388"/>
      <c r="L89" s="388"/>
      <c r="M89" s="212"/>
    </row>
    <row r="90" spans="1:13" ht="13.9" customHeight="1" x14ac:dyDescent="0.3">
      <c r="A90" s="211"/>
      <c r="B90" s="221"/>
      <c r="M90" s="212"/>
    </row>
    <row r="91" spans="1:13" x14ac:dyDescent="0.3">
      <c r="A91" s="211"/>
      <c r="B91" s="211"/>
      <c r="C91" s="212"/>
      <c r="D91" s="212"/>
      <c r="E91" s="212"/>
      <c r="F91" s="212"/>
      <c r="G91" s="212"/>
      <c r="H91" s="212"/>
      <c r="I91" s="212"/>
      <c r="J91" s="212"/>
      <c r="K91" s="212"/>
      <c r="L91" s="212"/>
      <c r="M91" s="212"/>
    </row>
  </sheetData>
  <mergeCells count="9">
    <mergeCell ref="C1:L1"/>
    <mergeCell ref="C4:L4"/>
    <mergeCell ref="C7:L7"/>
    <mergeCell ref="C46:L46"/>
    <mergeCell ref="C73:L74"/>
    <mergeCell ref="C3:L3"/>
    <mergeCell ref="C38:L38"/>
    <mergeCell ref="C42:L42"/>
    <mergeCell ref="C25:L25"/>
  </mergeCells>
  <pageMargins left="0.70866141732283472" right="0.70866141732283472" top="0.94488188976377963" bottom="0.74803149606299213" header="0.31496062992125984" footer="0.31496062992125984"/>
  <pageSetup paperSize="9" scale="57" orientation="portrait" r:id="rId1"/>
  <headerFooter>
    <oddHeader xml:space="preserve">&amp;L&amp;G&amp;C&amp;"Lato,Normal"Matrices de pilotage des risques&amp;R&amp;"Lato,Normal"Enregistrement 
Réf. :ENR-QUA-10 
Indice :3.0
Confidentialité : Restreint   </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7425-80B7-4FCE-9A36-5FF7FC20E315}">
  <sheetPr>
    <tabColor theme="7" tint="0.79998168889431442"/>
    <pageSetUpPr fitToPage="1"/>
  </sheetPr>
  <dimension ref="B2:H48"/>
  <sheetViews>
    <sheetView showGridLines="0" topLeftCell="B8" zoomScale="80" zoomScaleNormal="80" zoomScaleSheetLayoutView="40" zoomScalePageLayoutView="30" workbookViewId="0">
      <selection activeCell="G20" sqref="G20"/>
    </sheetView>
  </sheetViews>
  <sheetFormatPr baseColWidth="10" defaultColWidth="11.42578125" defaultRowHeight="16.5" x14ac:dyDescent="0.35"/>
  <cols>
    <col min="1" max="1" width="1.42578125" style="159" customWidth="1"/>
    <col min="2" max="2" width="13.85546875" style="159" customWidth="1"/>
    <col min="3" max="3" width="49.5703125" style="159" customWidth="1"/>
    <col min="4" max="4" width="48.28515625" style="159" bestFit="1" customWidth="1"/>
    <col min="5" max="5" width="63.42578125" style="159" customWidth="1"/>
    <col min="6" max="6" width="49" style="159" bestFit="1" customWidth="1"/>
    <col min="7" max="7" width="56.7109375" style="159" bestFit="1" customWidth="1"/>
    <col min="8" max="8" width="46.42578125" style="159" customWidth="1"/>
    <col min="9" max="16384" width="11.42578125" style="159"/>
  </cols>
  <sheetData>
    <row r="2" spans="2:8" ht="24" x14ac:dyDescent="0.45">
      <c r="B2" s="205" t="s">
        <v>10</v>
      </c>
    </row>
    <row r="3" spans="2:8" ht="22.15" customHeight="1" x14ac:dyDescent="0.35"/>
    <row r="4" spans="2:8" ht="22.15" customHeight="1" x14ac:dyDescent="0.4">
      <c r="B4" s="389" t="s">
        <v>99</v>
      </c>
    </row>
    <row r="5" spans="2:8" ht="22.15" customHeight="1" x14ac:dyDescent="0.35"/>
    <row r="6" spans="2:8" ht="22.15" customHeight="1" x14ac:dyDescent="0.35"/>
    <row r="7" spans="2:8" ht="22.15" customHeight="1" x14ac:dyDescent="0.35"/>
    <row r="8" spans="2:8" ht="22.15" customHeight="1" x14ac:dyDescent="0.35"/>
    <row r="9" spans="2:8" ht="22.15" customHeight="1" x14ac:dyDescent="0.35"/>
    <row r="10" spans="2:8" ht="22.15" customHeight="1" x14ac:dyDescent="0.35"/>
    <row r="11" spans="2:8" ht="22.15" customHeight="1" x14ac:dyDescent="0.35"/>
    <row r="12" spans="2:8" ht="22.15" customHeight="1" x14ac:dyDescent="0.35"/>
    <row r="13" spans="2:8" ht="22.15" customHeight="1" x14ac:dyDescent="0.4">
      <c r="B13" s="390" t="s">
        <v>100</v>
      </c>
      <c r="C13" s="162"/>
      <c r="D13" s="162"/>
      <c r="E13" s="162"/>
      <c r="F13" s="162"/>
      <c r="G13" s="162"/>
    </row>
    <row r="14" spans="2:8" ht="22.15" customHeight="1" x14ac:dyDescent="0.35">
      <c r="B14" s="208" t="s">
        <v>101</v>
      </c>
      <c r="D14" s="162"/>
      <c r="E14" s="162"/>
      <c r="F14" s="162"/>
      <c r="G14" s="162"/>
    </row>
    <row r="15" spans="2:8" ht="22.15" customHeight="1" x14ac:dyDescent="0.35">
      <c r="B15" s="162"/>
      <c r="C15" s="162"/>
      <c r="D15" s="162"/>
      <c r="E15" s="162"/>
      <c r="F15" s="162"/>
      <c r="G15" s="162"/>
    </row>
    <row r="16" spans="2:8" ht="22.15" customHeight="1" x14ac:dyDescent="0.35">
      <c r="B16" s="162"/>
      <c r="C16" s="163" t="s">
        <v>102</v>
      </c>
      <c r="D16" s="163" t="s">
        <v>103</v>
      </c>
      <c r="E16" s="163" t="s">
        <v>104</v>
      </c>
      <c r="F16" s="163" t="s">
        <v>105</v>
      </c>
      <c r="G16" s="163" t="s">
        <v>106</v>
      </c>
      <c r="H16" s="163" t="s">
        <v>107</v>
      </c>
    </row>
    <row r="17" spans="2:8" s="161" customFormat="1" ht="37.15" customHeight="1" x14ac:dyDescent="0.25">
      <c r="B17" s="206"/>
      <c r="C17" s="207" t="s">
        <v>108</v>
      </c>
      <c r="D17" s="207" t="s">
        <v>109</v>
      </c>
      <c r="E17" s="207" t="s">
        <v>110</v>
      </c>
      <c r="F17" s="207" t="s">
        <v>111</v>
      </c>
      <c r="G17" s="207" t="s">
        <v>112</v>
      </c>
      <c r="H17" s="207" t="s">
        <v>113</v>
      </c>
    </row>
    <row r="18" spans="2:8" s="161" customFormat="1" ht="22.15" customHeight="1" x14ac:dyDescent="0.25">
      <c r="B18" s="206"/>
      <c r="C18" s="207" t="s">
        <v>114</v>
      </c>
      <c r="D18" s="207" t="s">
        <v>115</v>
      </c>
      <c r="E18" s="207" t="s">
        <v>116</v>
      </c>
      <c r="F18" s="458" t="s">
        <v>117</v>
      </c>
      <c r="G18" s="207" t="s">
        <v>118</v>
      </c>
      <c r="H18" s="458" t="s">
        <v>119</v>
      </c>
    </row>
    <row r="19" spans="2:8" s="161" customFormat="1" ht="22.15" customHeight="1" x14ac:dyDescent="0.25">
      <c r="B19" s="206"/>
      <c r="C19" s="207" t="s">
        <v>120</v>
      </c>
      <c r="D19" s="207" t="s">
        <v>121</v>
      </c>
      <c r="E19" s="207" t="s">
        <v>122</v>
      </c>
      <c r="F19" s="207" t="s">
        <v>123</v>
      </c>
      <c r="G19" s="207" t="s">
        <v>124</v>
      </c>
      <c r="H19" s="207" t="s">
        <v>125</v>
      </c>
    </row>
    <row r="20" spans="2:8" s="161" customFormat="1" ht="22.15" customHeight="1" x14ac:dyDescent="0.25">
      <c r="B20" s="206"/>
      <c r="C20" s="207" t="s">
        <v>126</v>
      </c>
      <c r="D20" s="207" t="s">
        <v>127</v>
      </c>
      <c r="E20" s="207" t="s">
        <v>128</v>
      </c>
      <c r="F20" s="459" t="s">
        <v>129</v>
      </c>
      <c r="G20" s="207" t="s">
        <v>130</v>
      </c>
      <c r="H20" s="458" t="s">
        <v>131</v>
      </c>
    </row>
    <row r="21" spans="2:8" s="161" customFormat="1" ht="22.15" customHeight="1" x14ac:dyDescent="0.25">
      <c r="B21" s="206"/>
      <c r="C21" s="207" t="s">
        <v>132</v>
      </c>
      <c r="D21" s="207" t="s">
        <v>133</v>
      </c>
      <c r="E21" s="207" t="s">
        <v>134</v>
      </c>
      <c r="F21" s="458" t="s">
        <v>135</v>
      </c>
      <c r="G21" s="207" t="s">
        <v>136</v>
      </c>
      <c r="H21" s="458" t="s">
        <v>137</v>
      </c>
    </row>
    <row r="22" spans="2:8" s="161" customFormat="1" ht="36" customHeight="1" x14ac:dyDescent="0.25">
      <c r="B22" s="206"/>
      <c r="C22" s="207" t="s">
        <v>138</v>
      </c>
      <c r="D22" s="207" t="s">
        <v>139</v>
      </c>
      <c r="E22" s="207" t="s">
        <v>140</v>
      </c>
      <c r="F22" s="207" t="s">
        <v>141</v>
      </c>
      <c r="G22" s="207" t="s">
        <v>142</v>
      </c>
      <c r="H22" s="458"/>
    </row>
    <row r="23" spans="2:8" s="161" customFormat="1" ht="22.15" customHeight="1" x14ac:dyDescent="0.25">
      <c r="B23" s="206"/>
      <c r="C23" s="207" t="s">
        <v>143</v>
      </c>
      <c r="D23" s="207" t="s">
        <v>144</v>
      </c>
      <c r="E23" s="207" t="s">
        <v>145</v>
      </c>
      <c r="F23" s="207"/>
      <c r="G23" s="207" t="s">
        <v>146</v>
      </c>
      <c r="H23" s="458"/>
    </row>
    <row r="24" spans="2:8" s="161" customFormat="1" ht="22.15" customHeight="1" x14ac:dyDescent="0.25">
      <c r="B24" s="206"/>
      <c r="C24" s="207" t="s">
        <v>147</v>
      </c>
      <c r="D24" s="207" t="s">
        <v>148</v>
      </c>
      <c r="E24" s="207" t="s">
        <v>149</v>
      </c>
      <c r="F24" s="207"/>
      <c r="G24" s="207" t="s">
        <v>150</v>
      </c>
      <c r="H24" s="458"/>
    </row>
    <row r="25" spans="2:8" s="161" customFormat="1" ht="37.15" customHeight="1" x14ac:dyDescent="0.25">
      <c r="B25" s="206"/>
      <c r="C25" s="458" t="s">
        <v>151</v>
      </c>
      <c r="D25" s="207" t="s">
        <v>152</v>
      </c>
      <c r="E25" s="207" t="s">
        <v>153</v>
      </c>
      <c r="F25" s="207"/>
      <c r="G25" s="207" t="s">
        <v>154</v>
      </c>
      <c r="H25" s="458"/>
    </row>
    <row r="26" spans="2:8" s="161" customFormat="1" ht="22.15" customHeight="1" x14ac:dyDescent="0.25">
      <c r="B26" s="206"/>
      <c r="C26" s="458" t="s">
        <v>155</v>
      </c>
      <c r="D26" s="207" t="s">
        <v>156</v>
      </c>
      <c r="E26" s="207" t="s">
        <v>157</v>
      </c>
      <c r="F26" s="207"/>
      <c r="G26" s="458" t="s">
        <v>158</v>
      </c>
      <c r="H26" s="458"/>
    </row>
    <row r="27" spans="2:8" s="161" customFormat="1" ht="22.15" customHeight="1" x14ac:dyDescent="0.25">
      <c r="B27" s="206"/>
      <c r="C27" s="458" t="s">
        <v>132</v>
      </c>
      <c r="D27" s="207" t="s">
        <v>159</v>
      </c>
      <c r="E27" s="458"/>
      <c r="F27" s="207"/>
      <c r="G27" s="458" t="s">
        <v>160</v>
      </c>
      <c r="H27" s="458"/>
    </row>
    <row r="28" spans="2:8" s="161" customFormat="1" ht="22.15" customHeight="1" x14ac:dyDescent="0.25">
      <c r="B28" s="206"/>
      <c r="C28" s="458" t="s">
        <v>143</v>
      </c>
      <c r="D28" s="207" t="s">
        <v>161</v>
      </c>
      <c r="E28" s="207"/>
      <c r="F28" s="207"/>
      <c r="G28" s="458" t="s">
        <v>162</v>
      </c>
      <c r="H28" s="458"/>
    </row>
    <row r="29" spans="2:8" s="161" customFormat="1" ht="22.15" customHeight="1" x14ac:dyDescent="0.25">
      <c r="B29" s="206"/>
      <c r="C29" s="207" t="s">
        <v>163</v>
      </c>
      <c r="D29" s="207" t="s">
        <v>164</v>
      </c>
      <c r="E29" s="207"/>
      <c r="F29" s="207"/>
      <c r="G29" s="458"/>
      <c r="H29" s="458"/>
    </row>
    <row r="30" spans="2:8" s="161" customFormat="1" ht="22.15" customHeight="1" x14ac:dyDescent="0.25">
      <c r="B30" s="206"/>
      <c r="C30" s="207"/>
      <c r="D30" s="458" t="s">
        <v>165</v>
      </c>
      <c r="E30" s="207"/>
      <c r="F30" s="207"/>
      <c r="G30" s="458"/>
      <c r="H30" s="458"/>
    </row>
    <row r="31" spans="2:8" s="161" customFormat="1" ht="22.15" customHeight="1" x14ac:dyDescent="0.25">
      <c r="C31" s="458"/>
      <c r="D31" s="458" t="s">
        <v>166</v>
      </c>
      <c r="E31" s="458"/>
      <c r="F31" s="458"/>
      <c r="G31" s="458"/>
      <c r="H31" s="458"/>
    </row>
    <row r="32" spans="2:8" s="161" customFormat="1" ht="22.15" customHeight="1" x14ac:dyDescent="0.25">
      <c r="C32" s="458"/>
      <c r="D32" s="458" t="s">
        <v>167</v>
      </c>
      <c r="E32" s="458"/>
      <c r="F32" s="458"/>
      <c r="G32" s="458"/>
      <c r="H32" s="458"/>
    </row>
    <row r="33" spans="2:8" s="161" customFormat="1" ht="22.15" customHeight="1" x14ac:dyDescent="0.25">
      <c r="C33" s="458"/>
      <c r="D33" s="458" t="s">
        <v>168</v>
      </c>
      <c r="E33" s="458"/>
      <c r="F33" s="458"/>
      <c r="G33" s="458"/>
      <c r="H33" s="458"/>
    </row>
    <row r="34" spans="2:8" s="161" customFormat="1" ht="22.15" customHeight="1" x14ac:dyDescent="0.25">
      <c r="C34" s="458"/>
      <c r="D34" s="458" t="s">
        <v>169</v>
      </c>
      <c r="E34" s="458"/>
      <c r="F34" s="458"/>
      <c r="G34" s="458"/>
      <c r="H34" s="458"/>
    </row>
    <row r="35" spans="2:8" s="161" customFormat="1" ht="22.15" customHeight="1" x14ac:dyDescent="0.25">
      <c r="C35" s="458"/>
      <c r="D35" s="458" t="s">
        <v>170</v>
      </c>
      <c r="E35" s="458"/>
      <c r="F35" s="458"/>
      <c r="G35" s="458"/>
      <c r="H35" s="458"/>
    </row>
    <row r="36" spans="2:8" s="161" customFormat="1" ht="22.15" customHeight="1" x14ac:dyDescent="0.25">
      <c r="C36" s="458"/>
      <c r="D36" s="458" t="s">
        <v>127</v>
      </c>
      <c r="E36" s="458"/>
      <c r="F36" s="458"/>
      <c r="G36" s="458"/>
      <c r="H36" s="458"/>
    </row>
    <row r="37" spans="2:8" s="161" customFormat="1" ht="22.15" customHeight="1" x14ac:dyDescent="0.25">
      <c r="C37" s="458"/>
      <c r="D37" s="458" t="s">
        <v>152</v>
      </c>
      <c r="E37" s="458"/>
      <c r="F37" s="458"/>
      <c r="G37" s="458"/>
      <c r="H37" s="458"/>
    </row>
    <row r="38" spans="2:8" s="161" customFormat="1" ht="22.15" customHeight="1" x14ac:dyDescent="0.25">
      <c r="C38" s="458"/>
      <c r="D38" s="458" t="s">
        <v>156</v>
      </c>
      <c r="E38" s="458"/>
      <c r="F38" s="458"/>
      <c r="G38" s="458"/>
      <c r="H38" s="458"/>
    </row>
    <row r="39" spans="2:8" s="161" customFormat="1" ht="18.75" customHeight="1" x14ac:dyDescent="0.25">
      <c r="C39" s="458"/>
      <c r="D39" s="458"/>
      <c r="E39" s="458"/>
      <c r="F39" s="458"/>
      <c r="G39" s="458"/>
      <c r="H39" s="458"/>
    </row>
    <row r="40" spans="2:8" s="161" customFormat="1" x14ac:dyDescent="0.25"/>
    <row r="41" spans="2:8" ht="17.25" thickBot="1" x14ac:dyDescent="0.4"/>
    <row r="42" spans="2:8" x14ac:dyDescent="0.35">
      <c r="B42" s="169" t="s">
        <v>171</v>
      </c>
      <c r="F42" s="164"/>
    </row>
    <row r="43" spans="2:8" x14ac:dyDescent="0.35">
      <c r="B43" s="170" t="str">
        <f>C16</f>
        <v>Infrastructure</v>
      </c>
    </row>
    <row r="44" spans="2:8" x14ac:dyDescent="0.35">
      <c r="B44" s="170" t="str">
        <f>D16</f>
        <v>Commercial</v>
      </c>
    </row>
    <row r="45" spans="2:8" x14ac:dyDescent="0.35">
      <c r="B45" s="170" t="str">
        <f>E16</f>
        <v>Technique</v>
      </c>
    </row>
    <row r="46" spans="2:8" x14ac:dyDescent="0.35">
      <c r="B46" s="170" t="str">
        <f>F16</f>
        <v>Ressources Humaines</v>
      </c>
    </row>
    <row r="47" spans="2:8" x14ac:dyDescent="0.35">
      <c r="B47" s="170" t="str">
        <f>G16</f>
        <v>Qualité</v>
      </c>
    </row>
    <row r="48" spans="2:8" ht="17.25" thickBot="1" x14ac:dyDescent="0.4">
      <c r="B48" s="171" t="str">
        <f>H16</f>
        <v>Organisation</v>
      </c>
    </row>
  </sheetData>
  <dataValidations disablePrompts="1" xWindow="466" yWindow="817" count="2">
    <dataValidation type="list" allowBlank="1" showInputMessage="1" showErrorMessage="1" sqref="H35:H37" xr:uid="{4AB87BA8-0B90-4AD4-97D7-B208D914D008}">
      <formula1>"Mineur,Modéré,Critique"</formula1>
    </dataValidation>
    <dataValidation type="date" operator="greaterThan" allowBlank="1" showInputMessage="1" showErrorMessage="1" errorTitle="Date Invalide" error="La date doit être sous un format valide_x000a_JJ/MM/AA_x000a_JJ/MM/AAAA" sqref="D8:D34" xr:uid="{852AD0B7-9C1F-477B-B752-4693F4BCFF89}">
      <formula1>43466</formula1>
    </dataValidation>
  </dataValidations>
  <pageMargins left="0.70866141732283472" right="0.70866141732283472" top="0.94488188976377963" bottom="0.74803149606299213" header="0.31496062992125984" footer="0.31496062992125984"/>
  <pageSetup paperSize="9" scale="39" orientation="landscape" r:id="rId1"/>
  <headerFooter>
    <oddHeader xml:space="preserve">&amp;L&amp;G&amp;CMatrices de pilotage des risques&amp;REnregistrement 
Réf. :ENR-QUA-10 
Indice : 3.0
Confidentialité : Restreint   </oddHeader>
  </headerFooter>
  <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6DB9-D954-476C-9A3F-9B725F29ACB3}">
  <sheetPr>
    <tabColor theme="7" tint="0.39997558519241921"/>
    <pageSetUpPr fitToPage="1"/>
  </sheetPr>
  <dimension ref="A1:AB50"/>
  <sheetViews>
    <sheetView showGridLines="0" topLeftCell="A2" zoomScale="70" zoomScaleNormal="70" zoomScaleSheetLayoutView="40" zoomScalePageLayoutView="30" workbookViewId="0">
      <selection activeCell="N15" sqref="N15"/>
    </sheetView>
  </sheetViews>
  <sheetFormatPr baseColWidth="10" defaultColWidth="19" defaultRowHeight="15" outlineLevelCol="1" x14ac:dyDescent="0.25"/>
  <cols>
    <col min="1" max="1" width="13.7109375" style="157" customWidth="1"/>
    <col min="2" max="2" width="19.7109375" style="151" customWidth="1"/>
    <col min="3" max="3" width="17.7109375" style="151" bestFit="1" customWidth="1"/>
    <col min="4" max="4" width="15.140625" style="151" hidden="1" customWidth="1" outlineLevel="1"/>
    <col min="5" max="5" width="17.7109375" style="151" hidden="1" customWidth="1" outlineLevel="1"/>
    <col min="6" max="6" width="22.28515625" customWidth="1" collapsed="1"/>
    <col min="7" max="7" width="57.42578125" style="151" customWidth="1"/>
    <col min="8" max="8" width="32.7109375" style="151" customWidth="1"/>
    <col min="9" max="9" width="18.42578125" style="151" customWidth="1"/>
    <col min="10" max="10" width="13.85546875" style="151" bestFit="1" customWidth="1"/>
    <col min="11" max="11" width="14.42578125" style="152" bestFit="1" customWidth="1"/>
    <col min="12" max="12" width="43.5703125" style="151" bestFit="1" customWidth="1"/>
    <col min="13" max="13" width="15.28515625" style="151" customWidth="1"/>
    <col min="14" max="14" width="13.7109375" style="151" customWidth="1"/>
    <col min="15" max="15" width="21.5703125" style="151" customWidth="1"/>
    <col min="16" max="16" width="16.5703125" style="152" bestFit="1" customWidth="1"/>
    <col min="17" max="17" width="17" style="151" bestFit="1" customWidth="1"/>
    <col min="18" max="18" width="28.140625" style="151" customWidth="1"/>
    <col min="19" max="19" width="19" style="151"/>
    <col min="20" max="20" width="13.85546875" style="151" bestFit="1" customWidth="1"/>
    <col min="21" max="21" width="6.28515625" style="151" bestFit="1" customWidth="1"/>
    <col min="22" max="22" width="13.85546875" style="151" bestFit="1" customWidth="1"/>
    <col min="23" max="23" width="6.28515625" style="151" bestFit="1" customWidth="1"/>
    <col min="24" max="24" width="3.28515625" style="151" bestFit="1" customWidth="1"/>
    <col min="25" max="25" width="9.28515625" style="151" bestFit="1" customWidth="1"/>
    <col min="26" max="26" width="14.140625" style="151" bestFit="1" customWidth="1"/>
    <col min="27" max="16384" width="19" style="151"/>
  </cols>
  <sheetData>
    <row r="1" spans="1:26" ht="17.45" customHeight="1" x14ac:dyDescent="0.25">
      <c r="A1" s="526"/>
      <c r="B1" s="526"/>
      <c r="C1" s="526"/>
      <c r="D1" s="526"/>
      <c r="E1" s="526"/>
      <c r="F1" s="526"/>
      <c r="G1" s="526"/>
      <c r="H1" s="526"/>
      <c r="I1" s="526"/>
      <c r="J1" s="526"/>
      <c r="K1" s="526"/>
      <c r="L1" s="526"/>
      <c r="M1" s="526"/>
      <c r="N1" s="526"/>
      <c r="O1" s="526"/>
      <c r="P1" s="526"/>
      <c r="Q1" s="526"/>
      <c r="R1" s="526"/>
    </row>
    <row r="2" spans="1:26" ht="28.5" x14ac:dyDescent="0.25">
      <c r="A2" s="173" t="s">
        <v>172</v>
      </c>
      <c r="B2" s="173"/>
      <c r="C2" s="173"/>
      <c r="D2" s="173"/>
      <c r="E2" s="173"/>
      <c r="F2" s="173"/>
      <c r="G2" s="173"/>
      <c r="H2" s="173"/>
      <c r="I2" s="173"/>
      <c r="J2" s="173"/>
      <c r="K2" s="173"/>
      <c r="L2" s="172"/>
      <c r="M2" s="172"/>
      <c r="N2" s="172"/>
      <c r="O2" s="172"/>
      <c r="P2" s="172"/>
      <c r="Q2" s="172"/>
      <c r="R2" s="172"/>
      <c r="S2" s="172"/>
    </row>
    <row r="3" spans="1:26" ht="10.9" customHeight="1" x14ac:dyDescent="0.25">
      <c r="A3" s="173"/>
      <c r="B3" s="173"/>
      <c r="C3" s="173"/>
      <c r="D3" s="173"/>
      <c r="E3" s="173"/>
      <c r="F3" s="173"/>
      <c r="G3" s="173"/>
      <c r="H3" s="173"/>
      <c r="I3" s="173"/>
      <c r="J3" s="173"/>
      <c r="K3" s="173"/>
      <c r="L3" s="172"/>
      <c r="M3" s="172"/>
      <c r="N3" s="172"/>
      <c r="O3" s="172"/>
      <c r="P3" s="172"/>
      <c r="Q3" s="172"/>
      <c r="R3" s="172"/>
      <c r="S3" s="172"/>
    </row>
    <row r="4" spans="1:26" ht="39.75" customHeight="1" x14ac:dyDescent="0.25">
      <c r="A4" s="529" t="s">
        <v>173</v>
      </c>
      <c r="B4" s="530"/>
      <c r="C4" s="417" t="s">
        <v>174</v>
      </c>
      <c r="D4" s="173"/>
      <c r="E4" s="173"/>
      <c r="F4" s="173"/>
      <c r="G4" s="173"/>
      <c r="H4" s="173"/>
      <c r="I4" s="173"/>
      <c r="J4" s="173"/>
      <c r="K4" s="173"/>
      <c r="N4" s="152"/>
      <c r="O4" s="152"/>
      <c r="P4" s="151"/>
    </row>
    <row r="5" spans="1:26" ht="44.45" customHeight="1" x14ac:dyDescent="0.25">
      <c r="A5" s="536" t="s">
        <v>175</v>
      </c>
      <c r="B5" s="537"/>
      <c r="C5" s="417" t="s">
        <v>439</v>
      </c>
      <c r="D5" s="173"/>
      <c r="E5" s="173"/>
      <c r="F5" s="173"/>
      <c r="G5" s="152"/>
      <c r="H5" s="152"/>
      <c r="I5" s="152"/>
      <c r="J5" s="152"/>
      <c r="K5" s="151"/>
      <c r="N5" s="152"/>
      <c r="O5" s="152"/>
      <c r="P5" s="151"/>
    </row>
    <row r="6" spans="1:26" ht="15.75" thickBot="1" x14ac:dyDescent="0.3">
      <c r="A6" s="151"/>
      <c r="F6" s="151"/>
      <c r="K6" s="151"/>
      <c r="P6" s="151"/>
    </row>
    <row r="7" spans="1:26" s="174" customFormat="1" ht="23.45" customHeight="1" thickBot="1" x14ac:dyDescent="0.4">
      <c r="A7" s="531" t="s">
        <v>176</v>
      </c>
      <c r="B7" s="532"/>
      <c r="C7" s="532"/>
      <c r="D7" s="532"/>
      <c r="E7" s="533"/>
      <c r="F7" s="527" t="s">
        <v>177</v>
      </c>
      <c r="G7" s="527"/>
      <c r="H7" s="527"/>
      <c r="I7" s="527"/>
      <c r="J7" s="527"/>
      <c r="K7" s="527"/>
      <c r="L7" s="528" t="s">
        <v>178</v>
      </c>
      <c r="M7" s="528"/>
      <c r="N7" s="528"/>
      <c r="O7" s="528"/>
      <c r="P7" s="528"/>
      <c r="Q7" s="528"/>
      <c r="R7" s="528"/>
      <c r="T7" s="538" t="s">
        <v>179</v>
      </c>
      <c r="U7" s="539"/>
      <c r="V7" s="538" t="s">
        <v>21</v>
      </c>
      <c r="W7" s="539"/>
      <c r="X7" s="540" t="s">
        <v>180</v>
      </c>
      <c r="Y7" s="541"/>
      <c r="Z7" s="383" t="s">
        <v>181</v>
      </c>
    </row>
    <row r="8" spans="1:26" s="174" customFormat="1" ht="16.899999999999999" customHeight="1" x14ac:dyDescent="0.35">
      <c r="A8" s="415"/>
      <c r="B8" s="415"/>
      <c r="C8" s="415"/>
      <c r="D8" s="534" t="s">
        <v>182</v>
      </c>
      <c r="E8" s="535"/>
      <c r="F8" s="392"/>
      <c r="G8" s="392"/>
      <c r="H8" s="392"/>
      <c r="I8" s="392"/>
      <c r="J8" s="392"/>
      <c r="K8" s="392"/>
      <c r="L8" s="393"/>
      <c r="M8" s="393"/>
      <c r="N8" s="393"/>
      <c r="O8" s="393"/>
      <c r="P8" s="393"/>
      <c r="Q8" s="393"/>
      <c r="R8" s="393"/>
      <c r="T8" s="412"/>
      <c r="U8" s="413"/>
      <c r="V8" s="412"/>
      <c r="W8" s="413"/>
      <c r="X8" s="412"/>
      <c r="Y8" s="413"/>
      <c r="Z8" s="414"/>
    </row>
    <row r="9" spans="1:26" s="176" customFormat="1" ht="45" customHeight="1" thickBot="1" x14ac:dyDescent="0.4">
      <c r="A9" s="181" t="s">
        <v>183</v>
      </c>
      <c r="B9" s="181" t="s">
        <v>184</v>
      </c>
      <c r="C9" s="181" t="s">
        <v>185</v>
      </c>
      <c r="D9" s="416" t="s">
        <v>186</v>
      </c>
      <c r="E9" s="416" t="s">
        <v>187</v>
      </c>
      <c r="F9" s="181" t="s">
        <v>188</v>
      </c>
      <c r="G9" s="181" t="s">
        <v>189</v>
      </c>
      <c r="H9" s="181" t="s">
        <v>190</v>
      </c>
      <c r="I9" s="457" t="s">
        <v>191</v>
      </c>
      <c r="J9" s="457" t="s">
        <v>21</v>
      </c>
      <c r="K9" s="456" t="s">
        <v>180</v>
      </c>
      <c r="L9" s="175" t="s">
        <v>192</v>
      </c>
      <c r="M9" s="175" t="s">
        <v>193</v>
      </c>
      <c r="N9" s="175" t="s">
        <v>194</v>
      </c>
      <c r="O9" s="175" t="s">
        <v>195</v>
      </c>
      <c r="P9" s="175" t="s">
        <v>196</v>
      </c>
      <c r="Q9" s="460" t="s">
        <v>197</v>
      </c>
      <c r="R9" s="175" t="s">
        <v>198</v>
      </c>
      <c r="T9" s="177" t="s">
        <v>199</v>
      </c>
      <c r="U9" s="178" t="s">
        <v>200</v>
      </c>
      <c r="V9" s="177" t="s">
        <v>199</v>
      </c>
      <c r="W9" s="178" t="s">
        <v>200</v>
      </c>
      <c r="X9" s="179">
        <v>5</v>
      </c>
      <c r="Y9" s="180" t="s">
        <v>27</v>
      </c>
      <c r="Z9" s="384"/>
    </row>
    <row r="10" spans="1:26" s="176" customFormat="1" ht="45" customHeight="1" x14ac:dyDescent="0.35">
      <c r="A10" s="470" t="s">
        <v>201</v>
      </c>
      <c r="B10" s="464" t="s">
        <v>440</v>
      </c>
      <c r="C10" s="465">
        <v>46278</v>
      </c>
      <c r="D10" s="466"/>
      <c r="E10" s="466"/>
      <c r="F10" s="464" t="s">
        <v>107</v>
      </c>
      <c r="G10" s="464" t="s">
        <v>202</v>
      </c>
      <c r="H10" s="464" t="s">
        <v>442</v>
      </c>
      <c r="I10" s="467" t="s">
        <v>203</v>
      </c>
      <c r="J10" s="467" t="s">
        <v>203</v>
      </c>
      <c r="K10" s="468" t="str">
        <f>(IF(Tableau3[[#This Row],[Probabilité / Occurrence]]="","",VLOOKUP((VLOOKUP(Tableau3[[#This Row],[Probabilité / Occurrence]],$T$17:$U$20,2,FALSE)*(VLOOKUP(Tableau3[[#This Row],[Gravité]],$V$17:$W$20,2,FALSE))),$X$17:$Y$30,2,FALSE)))</f>
        <v>Forte</v>
      </c>
      <c r="L10" s="464" t="s">
        <v>455</v>
      </c>
      <c r="M10" s="464" t="s">
        <v>441</v>
      </c>
      <c r="N10" s="469">
        <v>46307</v>
      </c>
      <c r="O10" s="469" t="s">
        <v>204</v>
      </c>
      <c r="P10" s="470"/>
      <c r="Q10" s="471"/>
      <c r="R10" s="470"/>
      <c r="T10" s="461"/>
      <c r="U10" s="462"/>
      <c r="V10" s="461"/>
      <c r="W10" s="462"/>
      <c r="X10" s="179"/>
      <c r="Y10" s="180"/>
      <c r="Z10" s="414"/>
    </row>
    <row r="11" spans="1:26" s="176" customFormat="1" ht="45" customHeight="1" x14ac:dyDescent="0.35">
      <c r="A11" s="470" t="s">
        <v>205</v>
      </c>
      <c r="B11" s="464" t="s">
        <v>440</v>
      </c>
      <c r="C11" s="465">
        <v>46266</v>
      </c>
      <c r="D11" s="466"/>
      <c r="E11" s="466"/>
      <c r="F11" s="464" t="s">
        <v>106</v>
      </c>
      <c r="G11" s="464" t="s">
        <v>443</v>
      </c>
      <c r="H11" s="472" t="s">
        <v>447</v>
      </c>
      <c r="I11" s="467" t="s">
        <v>27</v>
      </c>
      <c r="J11" s="467" t="s">
        <v>206</v>
      </c>
      <c r="K11" s="468" t="str">
        <f>(IF(Tableau3[[#This Row],[Probabilité / Occurrence]]="","",VLOOKUP((VLOOKUP(Tableau3[[#This Row],[Probabilité / Occurrence]],$T$17:$U$20,2,FALSE)*(VLOOKUP(Tableau3[[#This Row],[Gravité]],$V$17:$W$20,2,FALSE))),$X$17:$Y$30,2,FALSE)))</f>
        <v>Faible</v>
      </c>
      <c r="L11" s="464" t="s">
        <v>456</v>
      </c>
      <c r="M11" s="464" t="s">
        <v>460</v>
      </c>
      <c r="N11" s="469">
        <v>46280</v>
      </c>
      <c r="O11" s="469" t="s">
        <v>204</v>
      </c>
      <c r="P11" s="470"/>
      <c r="Q11" s="471"/>
      <c r="R11" s="470"/>
      <c r="T11" s="461"/>
      <c r="U11" s="462"/>
      <c r="V11" s="461"/>
      <c r="W11" s="462"/>
      <c r="X11" s="179"/>
      <c r="Y11" s="180"/>
      <c r="Z11" s="414"/>
    </row>
    <row r="12" spans="1:26" s="176" customFormat="1" ht="45" customHeight="1" x14ac:dyDescent="0.35">
      <c r="A12" s="470" t="s">
        <v>207</v>
      </c>
      <c r="B12" s="464" t="s">
        <v>440</v>
      </c>
      <c r="C12" s="465">
        <v>46278</v>
      </c>
      <c r="D12" s="466"/>
      <c r="E12" s="466"/>
      <c r="F12" s="464" t="s">
        <v>103</v>
      </c>
      <c r="G12" s="464" t="s">
        <v>444</v>
      </c>
      <c r="H12" s="464" t="s">
        <v>448</v>
      </c>
      <c r="I12" s="467" t="s">
        <v>206</v>
      </c>
      <c r="J12" s="467" t="s">
        <v>203</v>
      </c>
      <c r="K12" s="468" t="str">
        <f>(IF(Tableau3[[#This Row],[Probabilité / Occurrence]]="","",VLOOKUP((VLOOKUP(Tableau3[[#This Row],[Probabilité / Occurrence]],$T$17:$U$20,2,FALSE)*(VLOOKUP(Tableau3[[#This Row],[Gravité]],$V$17:$W$20,2,FALSE))),$X$17:$Y$30,2,FALSE)))</f>
        <v>Moyenne</v>
      </c>
      <c r="L12" s="464" t="s">
        <v>457</v>
      </c>
      <c r="M12" s="464" t="s">
        <v>441</v>
      </c>
      <c r="N12" s="469">
        <v>46371</v>
      </c>
      <c r="O12" s="469" t="s">
        <v>204</v>
      </c>
      <c r="P12" s="470"/>
      <c r="Q12" s="471"/>
      <c r="R12" s="470"/>
      <c r="T12" s="461"/>
      <c r="U12" s="462"/>
      <c r="V12" s="461"/>
      <c r="W12" s="462"/>
      <c r="X12" s="179"/>
      <c r="Y12" s="180"/>
      <c r="Z12" s="414"/>
    </row>
    <row r="13" spans="1:26" s="176" customFormat="1" ht="45" customHeight="1" x14ac:dyDescent="0.35">
      <c r="A13" s="470" t="s">
        <v>208</v>
      </c>
      <c r="B13" s="464" t="s">
        <v>440</v>
      </c>
      <c r="C13" s="465">
        <v>46300</v>
      </c>
      <c r="D13" s="466"/>
      <c r="E13" s="466"/>
      <c r="F13" s="464" t="s">
        <v>104</v>
      </c>
      <c r="G13" s="464" t="s">
        <v>445</v>
      </c>
      <c r="H13" s="464" t="s">
        <v>449</v>
      </c>
      <c r="I13" s="467" t="s">
        <v>206</v>
      </c>
      <c r="J13" s="467" t="s">
        <v>203</v>
      </c>
      <c r="K13" s="468" t="str">
        <f>(IF(Tableau3[[#This Row],[Probabilité / Occurrence]]="","",VLOOKUP((VLOOKUP(Tableau3[[#This Row],[Probabilité / Occurrence]],$T$17:$U$20,2,FALSE)*(VLOOKUP(Tableau3[[#This Row],[Gravité]],$V$17:$W$20,2,FALSE))),$X$17:$Y$30,2,FALSE)))</f>
        <v>Moyenne</v>
      </c>
      <c r="L13" s="464" t="s">
        <v>458</v>
      </c>
      <c r="M13" s="464" t="s">
        <v>459</v>
      </c>
      <c r="N13" s="469">
        <v>46336</v>
      </c>
      <c r="O13" s="469" t="s">
        <v>204</v>
      </c>
      <c r="P13" s="470"/>
      <c r="Q13" s="471"/>
      <c r="R13" s="470"/>
      <c r="T13" s="461"/>
      <c r="U13" s="462"/>
      <c r="V13" s="461"/>
      <c r="W13" s="462"/>
      <c r="X13" s="179"/>
      <c r="Y13" s="180"/>
      <c r="Z13" s="414"/>
    </row>
    <row r="14" spans="1:26" s="176" customFormat="1" ht="45" customHeight="1" x14ac:dyDescent="0.35">
      <c r="A14" s="470" t="s">
        <v>209</v>
      </c>
      <c r="B14" s="464" t="s">
        <v>440</v>
      </c>
      <c r="C14" s="465">
        <v>46336</v>
      </c>
      <c r="D14" s="466"/>
      <c r="E14" s="466"/>
      <c r="F14" s="464" t="s">
        <v>104</v>
      </c>
      <c r="G14" s="464" t="s">
        <v>446</v>
      </c>
      <c r="H14" s="464" t="s">
        <v>450</v>
      </c>
      <c r="I14" s="467" t="s">
        <v>206</v>
      </c>
      <c r="J14" s="467" t="s">
        <v>203</v>
      </c>
      <c r="K14" s="468" t="str">
        <f>(IF(Tableau3[[#This Row],[Probabilité / Occurrence]]="","",VLOOKUP((VLOOKUP(Tableau3[[#This Row],[Probabilité / Occurrence]],$T$17:$U$20,2,FALSE)*(VLOOKUP(Tableau3[[#This Row],[Gravité]],$V$17:$W$20,2,FALSE))),$X$17:$Y$30,2,FALSE)))</f>
        <v>Moyenne</v>
      </c>
      <c r="L14" s="464" t="s">
        <v>461</v>
      </c>
      <c r="M14" s="464" t="s">
        <v>452</v>
      </c>
      <c r="N14" s="469">
        <v>46349</v>
      </c>
      <c r="O14" s="469" t="s">
        <v>204</v>
      </c>
      <c r="P14" s="470"/>
      <c r="Q14" s="471"/>
      <c r="R14" s="470"/>
      <c r="T14" s="461"/>
      <c r="U14" s="462"/>
      <c r="V14" s="461"/>
      <c r="W14" s="462"/>
      <c r="X14" s="179"/>
      <c r="Y14" s="180"/>
      <c r="Z14" s="414"/>
    </row>
    <row r="15" spans="1:26" s="176" customFormat="1" ht="51.75" customHeight="1" x14ac:dyDescent="0.35">
      <c r="A15" s="470" t="s">
        <v>451</v>
      </c>
      <c r="B15" s="464" t="s">
        <v>440</v>
      </c>
      <c r="C15" s="465">
        <v>46268</v>
      </c>
      <c r="D15" s="466"/>
      <c r="E15" s="466"/>
      <c r="F15" s="464" t="s">
        <v>103</v>
      </c>
      <c r="G15" s="464" t="s">
        <v>453</v>
      </c>
      <c r="H15" s="464" t="s">
        <v>454</v>
      </c>
      <c r="I15" s="467" t="s">
        <v>206</v>
      </c>
      <c r="J15" s="467" t="s">
        <v>206</v>
      </c>
      <c r="K15" s="468" t="str">
        <f>(IF(Tableau3[[#This Row],[Probabilité / Occurrence]]="","",VLOOKUP((VLOOKUP(Tableau3[[#This Row],[Probabilité / Occurrence]],$T$17:$U$20,2,FALSE)*(VLOOKUP(Tableau3[[#This Row],[Gravité]],$V$17:$W$20,2,FALSE))),$X$17:$Y$30,2,FALSE)))</f>
        <v>Moyenne</v>
      </c>
      <c r="L15" s="464" t="s">
        <v>462</v>
      </c>
      <c r="M15" s="464" t="s">
        <v>441</v>
      </c>
      <c r="N15" s="469">
        <v>46285</v>
      </c>
      <c r="O15" s="469" t="s">
        <v>204</v>
      </c>
      <c r="P15" s="470"/>
      <c r="Q15" s="471"/>
      <c r="R15" s="470"/>
      <c r="T15" s="461"/>
      <c r="U15" s="462"/>
      <c r="V15" s="461"/>
      <c r="W15" s="462"/>
      <c r="X15" s="179"/>
      <c r="Y15" s="180"/>
      <c r="Z15" s="414"/>
    </row>
    <row r="16" spans="1:26" s="176" customFormat="1" ht="36.75" customHeight="1" thickBot="1" x14ac:dyDescent="0.4">
      <c r="A16" s="463"/>
      <c r="B16" s="464"/>
      <c r="C16" s="465"/>
      <c r="D16" s="466"/>
      <c r="E16" s="466"/>
      <c r="F16" s="464"/>
      <c r="G16" s="464"/>
      <c r="H16" s="464"/>
      <c r="I16" s="467"/>
      <c r="J16" s="467"/>
      <c r="K16" s="468"/>
      <c r="L16" s="464"/>
      <c r="M16" s="464"/>
      <c r="N16" s="469"/>
      <c r="O16" s="469"/>
      <c r="P16" s="470"/>
      <c r="Q16" s="471"/>
      <c r="R16" s="470"/>
      <c r="T16" s="461"/>
      <c r="U16" s="462"/>
      <c r="V16" s="461"/>
      <c r="W16" s="462"/>
      <c r="X16" s="179"/>
      <c r="Y16" s="180"/>
      <c r="Z16" s="414"/>
    </row>
    <row r="17" spans="1:28" s="190" customFormat="1" ht="23.25" customHeight="1" x14ac:dyDescent="0.35">
      <c r="A17" s="182"/>
      <c r="B17" s="183"/>
      <c r="C17" s="184"/>
      <c r="D17" s="182"/>
      <c r="E17" s="185"/>
      <c r="F17" s="183"/>
      <c r="G17" s="183"/>
      <c r="H17" s="183"/>
      <c r="I17" s="186"/>
      <c r="J17" s="186"/>
      <c r="K17" s="187"/>
      <c r="L17" s="183"/>
      <c r="M17" s="183"/>
      <c r="N17" s="188"/>
      <c r="O17" s="188"/>
      <c r="P17" s="188"/>
      <c r="Q17" s="189"/>
      <c r="R17" s="182"/>
      <c r="T17" s="166" t="s">
        <v>27</v>
      </c>
      <c r="U17" s="165">
        <v>1</v>
      </c>
      <c r="V17" s="166" t="s">
        <v>27</v>
      </c>
      <c r="W17" s="165">
        <v>5</v>
      </c>
      <c r="X17" s="191">
        <v>6</v>
      </c>
      <c r="Y17" s="192" t="s">
        <v>27</v>
      </c>
      <c r="Z17" s="193" t="s">
        <v>210</v>
      </c>
      <c r="AA17" s="160"/>
      <c r="AB17" s="160"/>
    </row>
    <row r="18" spans="1:28" s="190" customFormat="1" ht="36.75" customHeight="1" x14ac:dyDescent="0.35">
      <c r="A18" s="198"/>
      <c r="B18" s="183"/>
      <c r="C18" s="184"/>
      <c r="D18" s="182"/>
      <c r="E18" s="185"/>
      <c r="F18" s="183"/>
      <c r="G18" s="183"/>
      <c r="H18" s="195"/>
      <c r="I18" s="186"/>
      <c r="J18" s="186"/>
      <c r="K18" s="187"/>
      <c r="L18" s="195"/>
      <c r="M18" s="195"/>
      <c r="N18" s="196"/>
      <c r="O18" s="188"/>
      <c r="P18" s="196"/>
      <c r="Q18" s="197"/>
      <c r="R18" s="198"/>
      <c r="T18" s="166" t="s">
        <v>206</v>
      </c>
      <c r="U18" s="165">
        <v>2</v>
      </c>
      <c r="V18" s="166" t="s">
        <v>206</v>
      </c>
      <c r="W18" s="165">
        <v>6</v>
      </c>
      <c r="X18" s="191">
        <v>7</v>
      </c>
      <c r="Y18" s="192" t="s">
        <v>27</v>
      </c>
      <c r="Z18" s="170" t="s">
        <v>211</v>
      </c>
    </row>
    <row r="19" spans="1:28" s="190" customFormat="1" ht="27" customHeight="1" x14ac:dyDescent="0.35">
      <c r="A19" s="198"/>
      <c r="B19" s="183"/>
      <c r="C19" s="184"/>
      <c r="D19" s="182"/>
      <c r="E19" s="185"/>
      <c r="F19" s="183"/>
      <c r="G19" s="183"/>
      <c r="H19" s="195"/>
      <c r="I19" s="186"/>
      <c r="J19" s="186"/>
      <c r="K19" s="187"/>
      <c r="L19" s="195"/>
      <c r="M19" s="195"/>
      <c r="N19" s="196"/>
      <c r="O19" s="188"/>
      <c r="P19" s="196"/>
      <c r="Q19" s="197"/>
      <c r="R19" s="198"/>
      <c r="T19" s="166" t="s">
        <v>203</v>
      </c>
      <c r="U19" s="165">
        <v>3</v>
      </c>
      <c r="V19" s="166" t="s">
        <v>203</v>
      </c>
      <c r="W19" s="165">
        <v>7</v>
      </c>
      <c r="X19" s="191">
        <v>8</v>
      </c>
      <c r="Y19" s="192" t="s">
        <v>27</v>
      </c>
      <c r="Z19" s="170" t="s">
        <v>212</v>
      </c>
    </row>
    <row r="20" spans="1:28" s="190" customFormat="1" ht="30" customHeight="1" thickBot="1" x14ac:dyDescent="0.4">
      <c r="A20" s="198"/>
      <c r="B20" s="183"/>
      <c r="C20" s="184"/>
      <c r="D20" s="182"/>
      <c r="E20" s="185"/>
      <c r="F20" s="183"/>
      <c r="G20" s="183"/>
      <c r="H20" s="195"/>
      <c r="I20" s="186"/>
      <c r="J20" s="186"/>
      <c r="K20" s="187"/>
      <c r="L20" s="195"/>
      <c r="M20" s="195"/>
      <c r="N20" s="196"/>
      <c r="O20" s="188"/>
      <c r="P20" s="196"/>
      <c r="Q20" s="197"/>
      <c r="R20" s="198"/>
      <c r="T20" s="167" t="s">
        <v>213</v>
      </c>
      <c r="U20" s="168">
        <v>4</v>
      </c>
      <c r="V20" s="167" t="s">
        <v>213</v>
      </c>
      <c r="W20" s="168">
        <v>8</v>
      </c>
      <c r="X20" s="191">
        <v>10</v>
      </c>
      <c r="Y20" s="192" t="s">
        <v>27</v>
      </c>
      <c r="Z20" s="170" t="s">
        <v>214</v>
      </c>
    </row>
    <row r="21" spans="1:28" s="190" customFormat="1" ht="22.5" customHeight="1" x14ac:dyDescent="0.35">
      <c r="A21" s="198"/>
      <c r="B21" s="183"/>
      <c r="C21" s="184"/>
      <c r="D21" s="182"/>
      <c r="E21" s="185"/>
      <c r="F21" s="183"/>
      <c r="G21" s="183"/>
      <c r="H21" s="195"/>
      <c r="I21" s="186"/>
      <c r="J21" s="186"/>
      <c r="K21" s="187"/>
      <c r="L21" s="195"/>
      <c r="M21" s="195"/>
      <c r="N21" s="196"/>
      <c r="O21" s="188"/>
      <c r="P21" s="196"/>
      <c r="Q21" s="197"/>
      <c r="R21" s="198"/>
      <c r="T21" s="159"/>
      <c r="U21" s="159"/>
      <c r="V21" s="159"/>
      <c r="W21" s="159"/>
      <c r="X21" s="191">
        <v>12</v>
      </c>
      <c r="Y21" s="199" t="s">
        <v>206</v>
      </c>
      <c r="Z21" s="170" t="s">
        <v>215</v>
      </c>
    </row>
    <row r="22" spans="1:28" s="190" customFormat="1" ht="27.75" customHeight="1" thickBot="1" x14ac:dyDescent="0.4">
      <c r="A22" s="198"/>
      <c r="B22" s="183"/>
      <c r="C22" s="184"/>
      <c r="D22" s="182"/>
      <c r="E22" s="185"/>
      <c r="F22" s="183"/>
      <c r="G22" s="183"/>
      <c r="H22" s="195"/>
      <c r="I22" s="186"/>
      <c r="J22" s="186"/>
      <c r="K22" s="187"/>
      <c r="L22" s="195"/>
      <c r="M22" s="195"/>
      <c r="N22" s="196"/>
      <c r="O22" s="188"/>
      <c r="P22" s="196"/>
      <c r="Q22" s="197"/>
      <c r="R22" s="198"/>
      <c r="T22" s="159"/>
      <c r="U22" s="159"/>
      <c r="V22" s="159"/>
      <c r="W22" s="159"/>
      <c r="X22" s="191">
        <v>14</v>
      </c>
      <c r="Y22" s="199" t="s">
        <v>206</v>
      </c>
      <c r="Z22" s="171" t="s">
        <v>216</v>
      </c>
    </row>
    <row r="23" spans="1:28" s="190" customFormat="1" ht="36.75" customHeight="1" x14ac:dyDescent="0.35">
      <c r="A23" s="198"/>
      <c r="B23" s="183"/>
      <c r="C23" s="184"/>
      <c r="D23" s="182"/>
      <c r="E23" s="185"/>
      <c r="F23" s="183"/>
      <c r="G23" s="183"/>
      <c r="H23" s="195"/>
      <c r="I23" s="186"/>
      <c r="J23" s="186"/>
      <c r="K23" s="187"/>
      <c r="L23" s="195"/>
      <c r="M23" s="195"/>
      <c r="N23" s="196"/>
      <c r="O23" s="188"/>
      <c r="P23" s="196"/>
      <c r="Q23" s="197"/>
      <c r="R23" s="198"/>
      <c r="X23" s="191">
        <v>15</v>
      </c>
      <c r="Y23" s="199" t="s">
        <v>206</v>
      </c>
    </row>
    <row r="24" spans="1:28" s="190" customFormat="1" ht="27" customHeight="1" x14ac:dyDescent="0.35">
      <c r="A24" s="198"/>
      <c r="B24" s="183"/>
      <c r="C24" s="184"/>
      <c r="D24" s="182"/>
      <c r="E24" s="185"/>
      <c r="F24" s="183"/>
      <c r="G24" s="183"/>
      <c r="H24" s="195"/>
      <c r="I24" s="186"/>
      <c r="J24" s="186"/>
      <c r="K24" s="187"/>
      <c r="L24" s="195"/>
      <c r="M24" s="195"/>
      <c r="N24" s="196"/>
      <c r="O24" s="188"/>
      <c r="P24" s="196"/>
      <c r="Q24" s="197"/>
      <c r="R24" s="198"/>
      <c r="X24" s="191">
        <v>16</v>
      </c>
      <c r="Y24" s="199" t="s">
        <v>206</v>
      </c>
    </row>
    <row r="25" spans="1:28" s="190" customFormat="1" ht="45" customHeight="1" x14ac:dyDescent="0.35">
      <c r="A25" s="198"/>
      <c r="B25" s="183"/>
      <c r="C25" s="184"/>
      <c r="D25" s="182"/>
      <c r="E25" s="185"/>
      <c r="F25" s="183"/>
      <c r="G25" s="183"/>
      <c r="H25" s="195"/>
      <c r="I25" s="186"/>
      <c r="J25" s="186"/>
      <c r="K25" s="187"/>
      <c r="L25" s="195"/>
      <c r="M25" s="195"/>
      <c r="N25" s="196"/>
      <c r="O25" s="188"/>
      <c r="P25" s="196"/>
      <c r="Q25" s="197"/>
      <c r="R25" s="198"/>
      <c r="X25" s="191">
        <v>18</v>
      </c>
      <c r="Y25" s="200" t="s">
        <v>203</v>
      </c>
    </row>
    <row r="26" spans="1:28" s="190" customFormat="1" ht="20.25" customHeight="1" x14ac:dyDescent="0.35">
      <c r="A26" s="198"/>
      <c r="B26" s="183"/>
      <c r="C26" s="184"/>
      <c r="D26" s="182"/>
      <c r="E26" s="185"/>
      <c r="F26" s="183"/>
      <c r="G26" s="183"/>
      <c r="H26" s="195"/>
      <c r="I26" s="186"/>
      <c r="J26" s="186"/>
      <c r="K26" s="187"/>
      <c r="L26" s="195"/>
      <c r="M26" s="195"/>
      <c r="N26" s="196"/>
      <c r="O26" s="188"/>
      <c r="P26" s="196"/>
      <c r="Q26" s="197"/>
      <c r="R26" s="198"/>
      <c r="X26" s="191">
        <v>20</v>
      </c>
      <c r="Y26" s="200" t="s">
        <v>203</v>
      </c>
    </row>
    <row r="27" spans="1:28" s="190" customFormat="1" ht="42" customHeight="1" x14ac:dyDescent="0.35">
      <c r="A27" s="198"/>
      <c r="B27" s="183"/>
      <c r="C27" s="184"/>
      <c r="D27" s="182"/>
      <c r="E27" s="185"/>
      <c r="F27" s="183"/>
      <c r="G27" s="183"/>
      <c r="H27" s="195"/>
      <c r="I27" s="186"/>
      <c r="J27" s="186"/>
      <c r="K27" s="187"/>
      <c r="L27" s="195"/>
      <c r="M27" s="195"/>
      <c r="N27" s="196"/>
      <c r="O27" s="188"/>
      <c r="P27" s="196"/>
      <c r="Q27" s="197"/>
      <c r="R27" s="198"/>
      <c r="X27" s="191">
        <v>21</v>
      </c>
      <c r="Y27" s="200" t="s">
        <v>203</v>
      </c>
    </row>
    <row r="28" spans="1:28" s="190" customFormat="1" ht="21.75" customHeight="1" x14ac:dyDescent="0.35">
      <c r="A28" s="198"/>
      <c r="B28" s="183"/>
      <c r="C28" s="184"/>
      <c r="D28" s="182"/>
      <c r="E28" s="185"/>
      <c r="F28" s="183"/>
      <c r="G28" s="183"/>
      <c r="H28" s="195"/>
      <c r="I28" s="186"/>
      <c r="J28" s="186"/>
      <c r="K28" s="187"/>
      <c r="L28" s="195"/>
      <c r="M28" s="195"/>
      <c r="N28" s="196"/>
      <c r="O28" s="188"/>
      <c r="P28" s="196"/>
      <c r="Q28" s="197"/>
      <c r="R28" s="198"/>
      <c r="X28" s="191">
        <v>24</v>
      </c>
      <c r="Y28" s="473" t="s">
        <v>213</v>
      </c>
    </row>
    <row r="29" spans="1:28" s="190" customFormat="1" ht="27.75" customHeight="1" x14ac:dyDescent="0.35">
      <c r="A29" s="194"/>
      <c r="B29" s="183"/>
      <c r="C29" s="184"/>
      <c r="D29" s="182"/>
      <c r="E29" s="185"/>
      <c r="F29" s="183"/>
      <c r="G29" s="195"/>
      <c r="H29" s="195"/>
      <c r="I29" s="186"/>
      <c r="J29" s="186"/>
      <c r="K29" s="187"/>
      <c r="L29" s="195"/>
      <c r="M29" s="195"/>
      <c r="N29" s="196"/>
      <c r="O29" s="188"/>
      <c r="P29" s="196"/>
      <c r="Q29" s="197"/>
      <c r="R29" s="198"/>
      <c r="X29" s="191">
        <v>28</v>
      </c>
      <c r="Y29" s="201" t="s">
        <v>213</v>
      </c>
    </row>
    <row r="30" spans="1:28" s="190" customFormat="1" ht="27.75" customHeight="1" thickBot="1" x14ac:dyDescent="0.4">
      <c r="A30" s="194"/>
      <c r="B30" s="183"/>
      <c r="C30" s="184"/>
      <c r="D30" s="182"/>
      <c r="E30" s="185"/>
      <c r="F30" s="183"/>
      <c r="G30" s="195"/>
      <c r="H30" s="195"/>
      <c r="I30" s="186"/>
      <c r="J30" s="186"/>
      <c r="K30" s="187"/>
      <c r="L30" s="195"/>
      <c r="M30" s="202"/>
      <c r="N30" s="196"/>
      <c r="O30" s="188"/>
      <c r="P30" s="198"/>
      <c r="Q30" s="197"/>
      <c r="R30" s="198"/>
      <c r="X30" s="203">
        <v>32</v>
      </c>
      <c r="Y30" s="204" t="s">
        <v>213</v>
      </c>
    </row>
    <row r="31" spans="1:28" s="190" customFormat="1" ht="30" customHeight="1" x14ac:dyDescent="0.35">
      <c r="A31" s="194"/>
      <c r="B31" s="183"/>
      <c r="C31" s="184"/>
      <c r="D31" s="182"/>
      <c r="E31" s="185"/>
      <c r="F31" s="183"/>
      <c r="G31" s="195"/>
      <c r="H31" s="195"/>
      <c r="I31" s="186"/>
      <c r="J31" s="186"/>
      <c r="K31" s="187"/>
      <c r="L31" s="195"/>
      <c r="M31" s="202"/>
      <c r="N31" s="196"/>
      <c r="O31" s="188"/>
      <c r="P31" s="198"/>
      <c r="Q31" s="197"/>
      <c r="R31" s="198"/>
      <c r="X31" s="159"/>
      <c r="Y31" s="159"/>
    </row>
    <row r="32" spans="1:28" s="190" customFormat="1" ht="59.25" customHeight="1" x14ac:dyDescent="0.35">
      <c r="A32" s="194"/>
      <c r="B32" s="183"/>
      <c r="C32" s="184"/>
      <c r="D32" s="182"/>
      <c r="E32" s="185"/>
      <c r="F32" s="183"/>
      <c r="G32" s="195"/>
      <c r="H32" s="195"/>
      <c r="I32" s="186"/>
      <c r="J32" s="186"/>
      <c r="K32" s="187"/>
      <c r="L32" s="195"/>
      <c r="M32" s="202"/>
      <c r="N32" s="196"/>
      <c r="O32" s="188"/>
      <c r="P32" s="198"/>
      <c r="Q32" s="197"/>
      <c r="R32" s="198"/>
      <c r="T32" s="159"/>
      <c r="U32" s="159"/>
      <c r="V32" s="159"/>
      <c r="W32" s="159"/>
      <c r="X32" s="159"/>
      <c r="Y32" s="159"/>
      <c r="Z32" s="159"/>
    </row>
    <row r="33" spans="1:26" s="190" customFormat="1" ht="45" customHeight="1" x14ac:dyDescent="0.35">
      <c r="A33" s="194"/>
      <c r="B33" s="183"/>
      <c r="C33" s="184"/>
      <c r="D33" s="182"/>
      <c r="E33" s="185"/>
      <c r="F33" s="183"/>
      <c r="G33" s="195"/>
      <c r="H33" s="195"/>
      <c r="I33" s="186"/>
      <c r="J33" s="186"/>
      <c r="K33" s="187"/>
      <c r="L33" s="195"/>
      <c r="M33" s="202"/>
      <c r="N33" s="196"/>
      <c r="O33" s="188"/>
      <c r="P33" s="198"/>
      <c r="Q33" s="197"/>
      <c r="R33" s="198"/>
      <c r="T33" s="159"/>
      <c r="U33" s="159"/>
      <c r="V33" s="159"/>
      <c r="W33" s="159"/>
      <c r="X33" s="159"/>
      <c r="Y33" s="159"/>
      <c r="Z33" s="159"/>
    </row>
    <row r="34" spans="1:26" s="190" customFormat="1" ht="42.75" customHeight="1" x14ac:dyDescent="0.35">
      <c r="A34" s="194"/>
      <c r="B34" s="183"/>
      <c r="C34" s="184"/>
      <c r="D34" s="182"/>
      <c r="E34" s="185"/>
      <c r="F34" s="183"/>
      <c r="G34" s="195"/>
      <c r="H34" s="195"/>
      <c r="I34" s="186"/>
      <c r="J34" s="186"/>
      <c r="K34" s="187"/>
      <c r="L34" s="195"/>
      <c r="M34" s="202"/>
      <c r="N34" s="196"/>
      <c r="O34" s="188"/>
      <c r="P34" s="198"/>
      <c r="Q34" s="197"/>
      <c r="R34" s="198"/>
      <c r="T34" s="159"/>
      <c r="U34" s="159"/>
      <c r="V34" s="159"/>
      <c r="W34" s="159"/>
      <c r="Z34" s="159"/>
    </row>
    <row r="35" spans="1:26" s="190" customFormat="1" ht="32.25" customHeight="1" x14ac:dyDescent="0.25">
      <c r="A35" s="194"/>
      <c r="B35" s="183"/>
      <c r="C35" s="184"/>
      <c r="D35" s="182"/>
      <c r="E35" s="185"/>
      <c r="F35" s="183"/>
      <c r="G35" s="195"/>
      <c r="H35" s="195"/>
      <c r="I35" s="186"/>
      <c r="J35" s="186"/>
      <c r="K35" s="187"/>
      <c r="L35" s="195"/>
      <c r="M35" s="202"/>
      <c r="N35" s="196"/>
      <c r="O35" s="188"/>
      <c r="P35" s="198"/>
      <c r="Q35" s="197"/>
      <c r="R35" s="198"/>
    </row>
    <row r="36" spans="1:26" s="190" customFormat="1" ht="27.75" customHeight="1" x14ac:dyDescent="0.25">
      <c r="A36" s="194"/>
      <c r="B36" s="183"/>
      <c r="C36" s="184"/>
      <c r="D36" s="182"/>
      <c r="E36" s="185"/>
      <c r="F36" s="183"/>
      <c r="G36" s="195"/>
      <c r="H36" s="195"/>
      <c r="I36" s="186"/>
      <c r="J36" s="186"/>
      <c r="K36" s="187"/>
      <c r="L36" s="195"/>
      <c r="M36" s="202"/>
      <c r="N36" s="196"/>
      <c r="O36" s="188"/>
      <c r="P36" s="198"/>
      <c r="Q36" s="197"/>
      <c r="R36" s="198"/>
    </row>
    <row r="37" spans="1:26" s="190" customFormat="1" ht="38.25" customHeight="1" x14ac:dyDescent="0.25">
      <c r="A37" s="194"/>
      <c r="B37" s="183"/>
      <c r="C37" s="184"/>
      <c r="D37" s="182"/>
      <c r="E37" s="185"/>
      <c r="F37" s="183"/>
      <c r="G37" s="195"/>
      <c r="H37" s="195"/>
      <c r="I37" s="186"/>
      <c r="J37" s="186"/>
      <c r="K37" s="187"/>
      <c r="L37" s="195"/>
      <c r="M37" s="202"/>
      <c r="N37" s="196"/>
      <c r="O37" s="188"/>
      <c r="P37" s="198"/>
      <c r="Q37" s="197"/>
      <c r="R37" s="198"/>
    </row>
    <row r="38" spans="1:26" s="190" customFormat="1" ht="30.75" customHeight="1" x14ac:dyDescent="0.25">
      <c r="A38" s="194"/>
      <c r="B38" s="183"/>
      <c r="C38" s="184"/>
      <c r="D38" s="182"/>
      <c r="E38" s="185"/>
      <c r="F38" s="183"/>
      <c r="G38" s="195"/>
      <c r="H38" s="195"/>
      <c r="I38" s="186"/>
      <c r="J38" s="186"/>
      <c r="K38" s="187"/>
      <c r="L38" s="195"/>
      <c r="M38" s="202"/>
      <c r="N38" s="196"/>
      <c r="O38" s="188"/>
      <c r="P38" s="198"/>
      <c r="Q38" s="197"/>
      <c r="R38" s="198"/>
    </row>
    <row r="39" spans="1:26" s="190" customFormat="1" ht="38.25" customHeight="1" x14ac:dyDescent="0.25">
      <c r="A39" s="194"/>
      <c r="B39" s="183"/>
      <c r="C39" s="184"/>
      <c r="D39" s="182"/>
      <c r="E39" s="185"/>
      <c r="F39" s="183"/>
      <c r="G39" s="195"/>
      <c r="H39" s="195"/>
      <c r="I39" s="186"/>
      <c r="J39" s="186"/>
      <c r="K39" s="187"/>
      <c r="L39" s="195"/>
      <c r="M39" s="202"/>
      <c r="N39" s="196"/>
      <c r="O39" s="188"/>
      <c r="P39" s="198"/>
      <c r="Q39" s="197"/>
      <c r="R39" s="198"/>
    </row>
    <row r="40" spans="1:26" s="190" customFormat="1" ht="42" customHeight="1" x14ac:dyDescent="0.25">
      <c r="A40" s="194"/>
      <c r="B40" s="183"/>
      <c r="C40" s="184"/>
      <c r="D40" s="182"/>
      <c r="E40" s="185"/>
      <c r="F40" s="183"/>
      <c r="G40" s="195"/>
      <c r="H40" s="195"/>
      <c r="I40" s="186"/>
      <c r="J40" s="186"/>
      <c r="K40" s="187"/>
      <c r="L40" s="195"/>
      <c r="M40" s="202"/>
      <c r="N40" s="196"/>
      <c r="O40" s="188"/>
      <c r="P40" s="198"/>
      <c r="Q40" s="197"/>
      <c r="R40" s="198"/>
    </row>
    <row r="41" spans="1:26" s="190" customFormat="1" ht="21.75" customHeight="1" x14ac:dyDescent="0.25">
      <c r="A41" s="194"/>
      <c r="B41" s="183"/>
      <c r="C41" s="184"/>
      <c r="D41" s="182"/>
      <c r="E41" s="185"/>
      <c r="F41" s="183"/>
      <c r="G41" s="195"/>
      <c r="H41" s="195"/>
      <c r="I41" s="186"/>
      <c r="J41" s="186"/>
      <c r="K41" s="187"/>
      <c r="L41" s="195"/>
      <c r="M41" s="202"/>
      <c r="N41" s="196"/>
      <c r="O41" s="188"/>
      <c r="P41" s="198"/>
      <c r="Q41" s="197"/>
      <c r="R41" s="198"/>
    </row>
    <row r="42" spans="1:26" s="190" customFormat="1" ht="30" customHeight="1" x14ac:dyDescent="0.25">
      <c r="A42" s="194"/>
      <c r="B42" s="183"/>
      <c r="C42" s="184"/>
      <c r="D42" s="182"/>
      <c r="E42" s="185"/>
      <c r="F42" s="183"/>
      <c r="G42" s="195"/>
      <c r="H42" s="195"/>
      <c r="I42" s="186"/>
      <c r="J42" s="186"/>
      <c r="K42" s="187"/>
      <c r="L42" s="195"/>
      <c r="M42" s="202"/>
      <c r="N42" s="196"/>
      <c r="O42" s="188"/>
      <c r="P42" s="198"/>
      <c r="Q42" s="197"/>
      <c r="R42" s="198"/>
    </row>
    <row r="43" spans="1:26" s="190" customFormat="1" ht="40.5" customHeight="1" x14ac:dyDescent="0.25">
      <c r="A43" s="194"/>
      <c r="B43" s="183"/>
      <c r="C43" s="184"/>
      <c r="D43" s="182"/>
      <c r="E43" s="185"/>
      <c r="F43" s="183"/>
      <c r="G43" s="195"/>
      <c r="H43" s="195"/>
      <c r="I43" s="186"/>
      <c r="J43" s="186"/>
      <c r="K43" s="187"/>
      <c r="L43" s="195"/>
      <c r="M43" s="202"/>
      <c r="N43" s="196"/>
      <c r="O43" s="188"/>
      <c r="P43" s="198"/>
      <c r="Q43" s="197"/>
      <c r="R43" s="198"/>
    </row>
    <row r="44" spans="1:26" s="190" customFormat="1" ht="50.25" customHeight="1" x14ac:dyDescent="0.25">
      <c r="A44" s="194"/>
      <c r="B44" s="183"/>
      <c r="C44" s="184"/>
      <c r="D44" s="182"/>
      <c r="E44" s="185"/>
      <c r="F44" s="183"/>
      <c r="G44" s="195"/>
      <c r="H44" s="195"/>
      <c r="I44" s="186"/>
      <c r="J44" s="186"/>
      <c r="K44" s="187"/>
      <c r="L44" s="195"/>
      <c r="M44" s="202"/>
      <c r="N44" s="196"/>
      <c r="O44" s="188"/>
      <c r="P44" s="198"/>
      <c r="Q44" s="197"/>
      <c r="R44" s="198"/>
    </row>
    <row r="45" spans="1:26" s="190" customFormat="1" ht="57" customHeight="1" x14ac:dyDescent="0.25">
      <c r="A45" s="194"/>
      <c r="B45" s="183"/>
      <c r="C45" s="184"/>
      <c r="D45" s="182"/>
      <c r="E45" s="185"/>
      <c r="F45" s="183"/>
      <c r="G45" s="195"/>
      <c r="H45" s="195"/>
      <c r="I45" s="186"/>
      <c r="J45" s="186"/>
      <c r="K45" s="187"/>
      <c r="L45" s="195"/>
      <c r="M45" s="202"/>
      <c r="N45" s="196"/>
      <c r="O45" s="188"/>
      <c r="P45" s="198"/>
      <c r="Q45" s="197"/>
      <c r="R45" s="198"/>
    </row>
    <row r="46" spans="1:26" ht="15.75" x14ac:dyDescent="0.25">
      <c r="A46" s="158"/>
      <c r="B46" s="153"/>
      <c r="C46" s="153"/>
      <c r="D46" s="153"/>
      <c r="E46" s="153"/>
      <c r="G46"/>
      <c r="H46" s="153"/>
      <c r="I46" s="153"/>
      <c r="J46" s="153"/>
      <c r="K46" s="154"/>
      <c r="L46" s="153"/>
      <c r="M46" s="155"/>
      <c r="N46" s="153"/>
      <c r="O46" s="153"/>
    </row>
    <row r="47" spans="1:26" ht="15.75" x14ac:dyDescent="0.25">
      <c r="A47" s="158"/>
      <c r="B47" s="153"/>
      <c r="C47" s="153"/>
      <c r="D47" s="153"/>
      <c r="E47" s="153"/>
      <c r="G47"/>
      <c r="H47" s="153"/>
      <c r="I47" s="153"/>
      <c r="J47" s="153"/>
      <c r="K47" s="154"/>
      <c r="L47" s="153"/>
      <c r="M47" s="155"/>
      <c r="N47" s="153"/>
      <c r="O47" s="153"/>
    </row>
    <row r="48" spans="1:26" ht="15.75" x14ac:dyDescent="0.25">
      <c r="A48" s="158"/>
      <c r="B48" s="153"/>
      <c r="C48" s="153"/>
      <c r="D48" s="153"/>
      <c r="E48" s="153"/>
      <c r="G48"/>
      <c r="H48" s="153"/>
      <c r="I48" s="153"/>
      <c r="J48" s="153"/>
      <c r="K48" s="154"/>
      <c r="L48" s="153"/>
      <c r="M48" s="155"/>
      <c r="N48" s="153"/>
      <c r="O48" s="153"/>
    </row>
    <row r="49" spans="7:7" x14ac:dyDescent="0.25">
      <c r="G49"/>
    </row>
    <row r="50" spans="7:7" x14ac:dyDescent="0.25">
      <c r="G50"/>
    </row>
  </sheetData>
  <mergeCells count="10">
    <mergeCell ref="D8:E8"/>
    <mergeCell ref="A5:B5"/>
    <mergeCell ref="T7:U7"/>
    <mergeCell ref="V7:W7"/>
    <mergeCell ref="X7:Y7"/>
    <mergeCell ref="A1:R1"/>
    <mergeCell ref="F7:K7"/>
    <mergeCell ref="L7:R7"/>
    <mergeCell ref="A4:B4"/>
    <mergeCell ref="A7:E7"/>
  </mergeCells>
  <phoneticPr fontId="73" type="noConversion"/>
  <conditionalFormatting sqref="E10:E45">
    <cfRule type="expression" dxfId="53" priority="1">
      <formula>AND($C$4="MySystem",E10&gt;=10,E10&lt;=24)</formula>
    </cfRule>
    <cfRule type="expression" dxfId="52" priority="2">
      <formula>AND($C$4="MySystem",E10&gt;=3,E10&lt;=9)</formula>
    </cfRule>
    <cfRule type="expression" dxfId="51" priority="3">
      <formula>AND($C$4="MySystem",E10&gt;0,E10&lt;=2)</formula>
    </cfRule>
    <cfRule type="expression" dxfId="50" priority="4">
      <formula>AND($C$4="MySystem",E10&gt;=25)</formula>
    </cfRule>
  </conditionalFormatting>
  <conditionalFormatting sqref="K10:K45">
    <cfRule type="containsText" dxfId="49" priority="11" operator="containsText" text="Très forte">
      <formula>NOT(ISERROR(SEARCH("Très forte",K10)))</formula>
    </cfRule>
    <cfRule type="containsText" dxfId="48" priority="12" operator="containsText" text="Forte">
      <formula>NOT(ISERROR(SEARCH("Forte",K10)))</formula>
    </cfRule>
    <cfRule type="containsText" dxfId="47" priority="13" operator="containsText" text="Moyen">
      <formula>NOT(ISERROR(SEARCH("Moyen",K10)))</formula>
    </cfRule>
    <cfRule type="containsText" dxfId="46" priority="14" operator="containsText" text="Faible">
      <formula>NOT(ISERROR(SEARCH("Faible",K10)))</formula>
    </cfRule>
  </conditionalFormatting>
  <dataValidations yWindow="727" count="11">
    <dataValidation type="list" errorStyle="warning" operator="greaterThan" allowBlank="1" showErrorMessage="1" errorTitle="Format incorrect" error="La valeur saisie doit être une date valide" sqref="O10:O45" xr:uid="{ECE66F9F-B026-49DD-818D-65ADE50CACE4}">
      <formula1>$Z$17:$Z$22</formula1>
    </dataValidation>
    <dataValidation type="list" allowBlank="1" showInputMessage="1" showErrorMessage="1" sqref="J10:J45" xr:uid="{840D9212-4BB5-414E-91B1-8A3311A3AF3F}">
      <formula1>$V$17:$V$20</formula1>
    </dataValidation>
    <dataValidation type="list" allowBlank="1" showInputMessage="1" showErrorMessage="1" sqref="I10:I45" xr:uid="{A0CD5E4A-8472-4CFD-966B-31088E1AAC21}">
      <formula1>$T$17:$T$20</formula1>
    </dataValidation>
    <dataValidation type="date" operator="greaterThan" allowBlank="1" showInputMessage="1" showErrorMessage="1" errorTitle="Date Invalide" error="La date doit être sous un format valide_x000a_JJ/MM/AA_x000a_JJ/MM/AAAA" sqref="C10:C45" xr:uid="{AB5FE2E0-A9A1-4640-B249-0F2EDFDA6AD6}">
      <formula1>43466</formula1>
    </dataValidation>
    <dataValidation allowBlank="1" showInputMessage="1" showErrorMessage="1" promptTitle="R + Chrono" prompt="Saisir R + un n° d'incrément pour le risque" sqref="A10:A45" xr:uid="{646D9B8A-B7F8-4397-9297-F881FD496E41}"/>
    <dataValidation type="date" errorStyle="warning" operator="greaterThan" allowBlank="1" showInputMessage="1" showErrorMessage="1" errorTitle="Format incorrect" error="La valeur saisie doit être une date valide" promptTitle="Saisir une date" prompt="Format JJ/MM/AA ou JJ/MM/AAAA" sqref="N10:N45" xr:uid="{A09012A3-3C7D-4062-A716-FF82EBB2E6D5}">
      <formula1>44562</formula1>
    </dataValidation>
    <dataValidation type="date" errorStyle="warning" operator="greaterThan" allowBlank="1" showInputMessage="1" showErrorMessage="1" errorTitle="Format de saisie invalide" error="La valeur saisie doit être une date valide" promptTitle="Saisir une date " prompt="Format JJ/MM/AA ou JJ/MM/AAAA" sqref="P10:P45" xr:uid="{9272AE63-D8EE-47B0-9527-27B84C19CE19}">
      <formula1>44562</formula1>
    </dataValidation>
    <dataValidation type="list" allowBlank="1" showInputMessage="1" showErrorMessage="1" sqref="C4" xr:uid="{C162F7E6-0AD7-4556-B4A2-FD7C3023A92B}">
      <formula1>"MyLog, MySystem, MVP, FMS ID, MyWork, Support transverse"</formula1>
    </dataValidation>
    <dataValidation type="list" allowBlank="1" showInputMessage="1" showErrorMessage="1" sqref="H46:J48" xr:uid="{B184DB61-D0B8-415B-8145-36D39006F223}">
      <formula1>"Mineur,Modéré,Critique"</formula1>
    </dataValidation>
    <dataValidation type="list" allowBlank="1" showInputMessage="1" showErrorMessage="1" sqref="D10:D45" xr:uid="{CC672104-A86C-45F5-B399-27AAD29937B3}">
      <formula1>"Oui,Non"</formula1>
    </dataValidation>
    <dataValidation type="list" allowBlank="1" showInputMessage="1" showErrorMessage="1" sqref="F10:F45" xr:uid="{04E92CAE-FABD-45A7-B8D7-7DA3FADEFD15}">
      <formula1>Catégories</formula1>
    </dataValidation>
  </dataValidations>
  <hyperlinks>
    <hyperlink ref="I9" location="'Guide utilisateur'!D41" display="Probabilité / Occurrence" xr:uid="{1984B25C-0EF5-4CAF-9E39-0E57C35904B8}"/>
    <hyperlink ref="J9" location="'Guide utilisateur'!D48" display="Gravité" xr:uid="{8A9E7475-C748-40A1-AD0B-F229D32D9C02}"/>
    <hyperlink ref="Q9" location="'Guide utilisateur'!C55" display="Efficacité action (en %)" xr:uid="{B753AB6A-5D28-4960-8886-C253D03ED8F4}"/>
  </hyperlinks>
  <pageMargins left="0.70866141732283472" right="0.70866141732283472" top="0.94488188976377963" bottom="0.74803149606299213" header="0.31496062992125984" footer="0.31496062992125984"/>
  <pageSetup paperSize="9" scale="36" orientation="landscape" r:id="rId1"/>
  <headerFooter>
    <oddHeader xml:space="preserve">&amp;L&amp;G&amp;CMatrices de pilotage des risques&amp;REnregistrement 
Réf. :ENR-QUA-10 
Indice :3,0
Confidentialité : Restreint   </oddHeader>
  </headerFooter>
  <legacyDrawing r:id="rId2"/>
  <legacyDrawingHF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CEF9-5180-4809-B527-D4DB94A1D7BA}">
  <sheetPr>
    <tabColor theme="7" tint="0.39997558519241921"/>
    <pageSetUpPr fitToPage="1"/>
  </sheetPr>
  <dimension ref="A1:I59"/>
  <sheetViews>
    <sheetView showGridLines="0" topLeftCell="A42" zoomScaleNormal="100" zoomScaleSheetLayoutView="40" workbookViewId="0">
      <selection activeCell="C15" sqref="C15"/>
    </sheetView>
  </sheetViews>
  <sheetFormatPr baseColWidth="10" defaultColWidth="15.85546875" defaultRowHeight="14.25" x14ac:dyDescent="0.3"/>
  <cols>
    <col min="1" max="1" width="20.140625" style="213" bestFit="1" customWidth="1"/>
    <col min="2" max="4" width="10.28515625" style="213" bestFit="1" customWidth="1"/>
    <col min="5" max="5" width="12.5703125" style="213" bestFit="1" customWidth="1"/>
    <col min="6" max="6" width="11.85546875" style="213" bestFit="1" customWidth="1"/>
    <col min="7" max="16384" width="15.85546875" style="213"/>
  </cols>
  <sheetData>
    <row r="1" spans="1:9" ht="38.25" x14ac:dyDescent="0.3">
      <c r="A1" s="542" t="s">
        <v>217</v>
      </c>
      <c r="B1" s="542"/>
      <c r="C1" s="542"/>
      <c r="D1" s="542"/>
      <c r="E1" s="542"/>
      <c r="F1" s="542"/>
      <c r="G1" s="542"/>
      <c r="H1" s="542"/>
      <c r="I1" s="542"/>
    </row>
    <row r="3" spans="1:9" ht="15.75" x14ac:dyDescent="0.3">
      <c r="A3" t="s">
        <v>218</v>
      </c>
      <c r="B3"/>
      <c r="C3"/>
      <c r="D3"/>
      <c r="E3"/>
      <c r="F3"/>
    </row>
    <row r="4" spans="1:9" ht="15.75" x14ac:dyDescent="0.3">
      <c r="A4"/>
      <c r="B4"/>
      <c r="C4"/>
      <c r="D4"/>
      <c r="E4"/>
      <c r="F4"/>
    </row>
    <row r="5" spans="1:9" ht="15.75" x14ac:dyDescent="0.3">
      <c r="A5" s="156" t="s">
        <v>226</v>
      </c>
      <c r="B5" s="156" t="s">
        <v>219</v>
      </c>
      <c r="C5"/>
      <c r="D5"/>
      <c r="E5"/>
      <c r="F5"/>
      <c r="G5"/>
    </row>
    <row r="6" spans="1:9" ht="15.75" x14ac:dyDescent="0.3">
      <c r="A6" s="156" t="s">
        <v>220</v>
      </c>
      <c r="B6" t="s">
        <v>203</v>
      </c>
      <c r="C6" t="s">
        <v>206</v>
      </c>
      <c r="D6" t="s">
        <v>221</v>
      </c>
      <c r="E6"/>
      <c r="F6"/>
      <c r="G6"/>
    </row>
    <row r="7" spans="1:9" ht="15.75" x14ac:dyDescent="0.3">
      <c r="A7" s="150" t="s">
        <v>103</v>
      </c>
      <c r="B7">
        <v>1</v>
      </c>
      <c r="C7">
        <v>1</v>
      </c>
      <c r="D7">
        <v>2</v>
      </c>
      <c r="E7"/>
      <c r="F7"/>
      <c r="G7"/>
    </row>
    <row r="8" spans="1:9" ht="15.75" x14ac:dyDescent="0.3">
      <c r="A8" s="150" t="s">
        <v>106</v>
      </c>
      <c r="B8"/>
      <c r="C8">
        <v>1</v>
      </c>
      <c r="D8">
        <v>1</v>
      </c>
      <c r="E8"/>
      <c r="F8"/>
      <c r="G8"/>
    </row>
    <row r="9" spans="1:9" ht="15.75" x14ac:dyDescent="0.3">
      <c r="A9" s="150" t="s">
        <v>104</v>
      </c>
      <c r="B9">
        <v>2</v>
      </c>
      <c r="C9"/>
      <c r="D9">
        <v>2</v>
      </c>
      <c r="E9"/>
      <c r="F9"/>
      <c r="G9"/>
    </row>
    <row r="10" spans="1:9" ht="15.75" x14ac:dyDescent="0.3">
      <c r="A10" s="150" t="s">
        <v>107</v>
      </c>
      <c r="B10">
        <v>1</v>
      </c>
      <c r="C10"/>
      <c r="D10">
        <v>1</v>
      </c>
      <c r="E10"/>
      <c r="F10"/>
      <c r="G10"/>
    </row>
    <row r="11" spans="1:9" ht="15.75" x14ac:dyDescent="0.3">
      <c r="A11" s="150" t="s">
        <v>221</v>
      </c>
      <c r="B11">
        <v>4</v>
      </c>
      <c r="C11">
        <v>2</v>
      </c>
      <c r="D11">
        <v>6</v>
      </c>
      <c r="E11"/>
      <c r="F11"/>
      <c r="G11"/>
    </row>
    <row r="12" spans="1:9" ht="15.75" x14ac:dyDescent="0.3">
      <c r="A12"/>
      <c r="B12"/>
      <c r="C12"/>
      <c r="D12"/>
      <c r="E12"/>
      <c r="F12"/>
      <c r="G12"/>
    </row>
    <row r="13" spans="1:9" ht="15.75" x14ac:dyDescent="0.3">
      <c r="A13"/>
      <c r="B13"/>
      <c r="C13"/>
    </row>
    <row r="14" spans="1:9" ht="15.75" x14ac:dyDescent="0.3">
      <c r="A14"/>
      <c r="B14"/>
      <c r="C14"/>
    </row>
    <row r="15" spans="1:9" ht="15.75" x14ac:dyDescent="0.3">
      <c r="A15"/>
      <c r="B15"/>
      <c r="C15"/>
    </row>
    <row r="16" spans="1:9" ht="15.75" x14ac:dyDescent="0.3">
      <c r="A16"/>
      <c r="B16"/>
      <c r="C16"/>
    </row>
    <row r="17" spans="1:9" ht="15.75" x14ac:dyDescent="0.3">
      <c r="A17"/>
      <c r="B17"/>
      <c r="C17"/>
    </row>
    <row r="18" spans="1:9" ht="15.75" x14ac:dyDescent="0.3">
      <c r="A18"/>
      <c r="B18"/>
      <c r="C18"/>
    </row>
    <row r="19" spans="1:9" ht="15.75" x14ac:dyDescent="0.3">
      <c r="A19"/>
      <c r="B19"/>
      <c r="C19"/>
    </row>
    <row r="20" spans="1:9" ht="15.75" x14ac:dyDescent="0.3">
      <c r="A20"/>
      <c r="B20"/>
      <c r="C20"/>
    </row>
    <row r="21" spans="1:9" ht="15.75" x14ac:dyDescent="0.3">
      <c r="A21"/>
      <c r="B21"/>
      <c r="C21"/>
    </row>
    <row r="22" spans="1:9" ht="15.75" x14ac:dyDescent="0.3">
      <c r="A22"/>
      <c r="B22"/>
      <c r="C22"/>
    </row>
    <row r="24" spans="1:9" ht="38.25" x14ac:dyDescent="0.3">
      <c r="A24" s="542" t="s">
        <v>222</v>
      </c>
      <c r="B24" s="542"/>
      <c r="C24" s="542"/>
      <c r="D24" s="542"/>
      <c r="E24" s="542"/>
      <c r="F24" s="542"/>
      <c r="G24" s="542"/>
      <c r="H24" s="542"/>
      <c r="I24" s="542"/>
    </row>
    <row r="26" spans="1:9" ht="15.75" x14ac:dyDescent="0.3">
      <c r="A26" t="s">
        <v>218</v>
      </c>
      <c r="B26"/>
      <c r="C26"/>
      <c r="D26"/>
      <c r="E26"/>
      <c r="F26"/>
    </row>
    <row r="27" spans="1:9" ht="15.75" x14ac:dyDescent="0.3">
      <c r="A27"/>
      <c r="B27"/>
      <c r="C27"/>
      <c r="D27"/>
      <c r="E27"/>
      <c r="F27"/>
    </row>
    <row r="28" spans="1:9" ht="15.75" x14ac:dyDescent="0.3">
      <c r="A28" s="156" t="s">
        <v>223</v>
      </c>
      <c r="B28" s="156" t="s">
        <v>180</v>
      </c>
      <c r="C28"/>
      <c r="D28"/>
      <c r="E28"/>
      <c r="F28"/>
    </row>
    <row r="29" spans="1:9" ht="15.75" x14ac:dyDescent="0.3">
      <c r="A29" s="156" t="s">
        <v>184</v>
      </c>
      <c r="B29" t="s">
        <v>27</v>
      </c>
      <c r="C29" t="s">
        <v>206</v>
      </c>
      <c r="D29" t="s">
        <v>203</v>
      </c>
      <c r="E29" t="s">
        <v>221</v>
      </c>
      <c r="F29"/>
    </row>
    <row r="30" spans="1:9" ht="15.75" x14ac:dyDescent="0.3">
      <c r="A30" t="s">
        <v>440</v>
      </c>
      <c r="B30">
        <v>1</v>
      </c>
      <c r="C30">
        <v>4</v>
      </c>
      <c r="D30">
        <v>1</v>
      </c>
      <c r="E30">
        <v>6</v>
      </c>
      <c r="F30"/>
    </row>
    <row r="31" spans="1:9" ht="15.75" x14ac:dyDescent="0.3">
      <c r="A31" t="s">
        <v>221</v>
      </c>
      <c r="B31">
        <v>1</v>
      </c>
      <c r="C31">
        <v>4</v>
      </c>
      <c r="D31">
        <v>1</v>
      </c>
      <c r="E31">
        <v>6</v>
      </c>
      <c r="F31"/>
    </row>
    <row r="32" spans="1:9" ht="15.75" x14ac:dyDescent="0.3">
      <c r="A32"/>
      <c r="B32"/>
      <c r="C32"/>
      <c r="D32"/>
      <c r="E32"/>
      <c r="F32"/>
    </row>
    <row r="33" spans="1:9" ht="15.75" x14ac:dyDescent="0.3">
      <c r="A33"/>
      <c r="B33"/>
      <c r="C33"/>
      <c r="D33"/>
      <c r="E33"/>
      <c r="F33"/>
    </row>
    <row r="34" spans="1:9" ht="15.75" x14ac:dyDescent="0.3">
      <c r="A34"/>
      <c r="B34"/>
      <c r="C34"/>
      <c r="D34"/>
      <c r="E34"/>
      <c r="F34"/>
    </row>
    <row r="35" spans="1:9" ht="15.75" x14ac:dyDescent="0.3">
      <c r="A35"/>
      <c r="B35"/>
      <c r="C35"/>
      <c r="D35"/>
      <c r="E35"/>
      <c r="F35"/>
    </row>
    <row r="47" spans="1:9" ht="38.25" x14ac:dyDescent="0.3">
      <c r="A47" s="542" t="s">
        <v>224</v>
      </c>
      <c r="B47" s="542"/>
      <c r="C47" s="542"/>
      <c r="D47" s="542"/>
      <c r="E47" s="542"/>
      <c r="F47" s="542"/>
      <c r="G47" s="542"/>
      <c r="H47" s="542"/>
      <c r="I47" s="542"/>
    </row>
    <row r="49" spans="1:6" ht="15.75" x14ac:dyDescent="0.3">
      <c r="A49" t="s">
        <v>218</v>
      </c>
      <c r="B49"/>
      <c r="C49"/>
      <c r="D49"/>
      <c r="E49"/>
      <c r="F49"/>
    </row>
    <row r="50" spans="1:6" ht="15.75" x14ac:dyDescent="0.3">
      <c r="A50"/>
      <c r="B50"/>
      <c r="C50"/>
      <c r="D50"/>
      <c r="E50"/>
      <c r="F50"/>
    </row>
    <row r="51" spans="1:6" ht="15.75" x14ac:dyDescent="0.3">
      <c r="A51" s="156" t="s">
        <v>183</v>
      </c>
      <c r="B51" t="s">
        <v>225</v>
      </c>
      <c r="C51"/>
      <c r="D51"/>
      <c r="E51"/>
      <c r="F51"/>
    </row>
    <row r="52" spans="1:6" ht="15.75" x14ac:dyDescent="0.3">
      <c r="A52"/>
      <c r="B52"/>
      <c r="C52"/>
      <c r="D52"/>
      <c r="E52"/>
      <c r="F52"/>
    </row>
    <row r="53" spans="1:6" ht="15.75" x14ac:dyDescent="0.3">
      <c r="A53" s="156" t="s">
        <v>226</v>
      </c>
      <c r="B53" s="156" t="s">
        <v>219</v>
      </c>
      <c r="C53"/>
      <c r="D53"/>
      <c r="E53"/>
      <c r="F53"/>
    </row>
    <row r="54" spans="1:6" ht="15.75" x14ac:dyDescent="0.3">
      <c r="A54" s="156" t="s">
        <v>220</v>
      </c>
      <c r="B54" t="s">
        <v>203</v>
      </c>
      <c r="C54" t="s">
        <v>206</v>
      </c>
      <c r="D54" t="s">
        <v>27</v>
      </c>
      <c r="E54" t="s">
        <v>221</v>
      </c>
      <c r="F54"/>
    </row>
    <row r="55" spans="1:6" ht="15.75" x14ac:dyDescent="0.3">
      <c r="A55" s="210" t="s">
        <v>463</v>
      </c>
      <c r="B55">
        <v>1</v>
      </c>
      <c r="C55">
        <v>2</v>
      </c>
      <c r="D55">
        <v>1</v>
      </c>
      <c r="E55">
        <v>4</v>
      </c>
      <c r="F55"/>
    </row>
    <row r="56" spans="1:6" ht="15.75" x14ac:dyDescent="0.3">
      <c r="A56" s="210" t="s">
        <v>464</v>
      </c>
      <c r="B56"/>
      <c r="C56">
        <v>1</v>
      </c>
      <c r="D56"/>
      <c r="E56">
        <v>1</v>
      </c>
      <c r="F56"/>
    </row>
    <row r="57" spans="1:6" ht="15.75" x14ac:dyDescent="0.3">
      <c r="A57" s="210" t="s">
        <v>465</v>
      </c>
      <c r="B57"/>
      <c r="C57">
        <v>1</v>
      </c>
      <c r="D57"/>
      <c r="E57">
        <v>1</v>
      </c>
      <c r="F57"/>
    </row>
    <row r="58" spans="1:6" ht="15.75" x14ac:dyDescent="0.3">
      <c r="A58" s="210" t="s">
        <v>221</v>
      </c>
      <c r="B58">
        <v>1</v>
      </c>
      <c r="C58">
        <v>4</v>
      </c>
      <c r="D58">
        <v>1</v>
      </c>
      <c r="E58">
        <v>6</v>
      </c>
      <c r="F58"/>
    </row>
    <row r="59" spans="1:6" ht="15.75" x14ac:dyDescent="0.3">
      <c r="A59"/>
      <c r="B59"/>
      <c r="C59"/>
      <c r="D59"/>
      <c r="E59"/>
      <c r="F59"/>
    </row>
  </sheetData>
  <mergeCells count="3">
    <mergeCell ref="A1:I1"/>
    <mergeCell ref="A24:I24"/>
    <mergeCell ref="A47:I47"/>
  </mergeCells>
  <pageMargins left="0.70866141732283472" right="0.70866141732283472" top="0.94488188976377963" bottom="0.74803149606299213" header="0.31496062992125984" footer="0.31496062992125984"/>
  <pageSetup paperSize="9" scale="63" orientation="portrait" r:id="rId4"/>
  <headerFooter>
    <oddHeader xml:space="preserve">&amp;L&amp;G&amp;CMatrices de pilotage des risques&amp;REnregistrement 
Réf. :ENR-QUA-10 
Indice :3.0
Confidentialité : Restreint   </oddHeader>
  </headerFooter>
  <drawing r:id="rId5"/>
  <legacyDrawingHF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75964-3B27-411E-8898-311DB7266DBF}">
  <sheetPr>
    <tabColor theme="7" tint="0.79998168889431442"/>
  </sheetPr>
  <dimension ref="A2:H17"/>
  <sheetViews>
    <sheetView showGridLines="0" topLeftCell="A2" zoomScale="70" zoomScaleNormal="70" zoomScaleSheetLayoutView="40" workbookViewId="0">
      <selection activeCell="B2" sqref="B2"/>
    </sheetView>
  </sheetViews>
  <sheetFormatPr baseColWidth="10" defaultColWidth="11.42578125" defaultRowHeight="12.75" x14ac:dyDescent="0.2"/>
  <cols>
    <col min="1" max="1" width="4.7109375" style="2" customWidth="1"/>
    <col min="2" max="2" width="10.7109375" style="2" customWidth="1"/>
    <col min="3" max="3" width="20.28515625" style="2" bestFit="1" customWidth="1"/>
    <col min="4" max="4" width="53.7109375" style="2" customWidth="1"/>
    <col min="5" max="5" width="21.42578125" style="2" customWidth="1"/>
    <col min="6" max="6" width="42.85546875" style="2" customWidth="1"/>
    <col min="7" max="7" width="21.42578125" style="2" customWidth="1"/>
    <col min="8" max="8" width="42.85546875" style="2" customWidth="1"/>
    <col min="9" max="9" width="4.7109375" style="2" customWidth="1"/>
    <col min="10" max="15" width="10.7109375" style="2" customWidth="1"/>
    <col min="16" max="16384" width="11.42578125" style="2"/>
  </cols>
  <sheetData>
    <row r="2" spans="1:8" ht="28.5" customHeight="1" x14ac:dyDescent="0.2">
      <c r="B2" s="173" t="s">
        <v>227</v>
      </c>
      <c r="C2" s="173"/>
    </row>
    <row r="3" spans="1:8" ht="30" customHeight="1" x14ac:dyDescent="0.35">
      <c r="A3" s="162"/>
      <c r="B3" s="276" t="s">
        <v>228</v>
      </c>
      <c r="C3" s="162"/>
      <c r="D3" s="263"/>
      <c r="E3" s="263"/>
      <c r="F3" s="3"/>
      <c r="G3" s="3"/>
    </row>
    <row r="4" spans="1:8" ht="13.5" thickBot="1" x14ac:dyDescent="0.25"/>
    <row r="5" spans="1:8" ht="30.75" customHeight="1" thickBot="1" x14ac:dyDescent="0.25">
      <c r="B5" s="382" t="s">
        <v>229</v>
      </c>
      <c r="C5" s="543" t="s">
        <v>230</v>
      </c>
      <c r="D5" s="544"/>
      <c r="E5" s="544" t="s">
        <v>231</v>
      </c>
      <c r="F5" s="545"/>
      <c r="G5" s="543" t="s">
        <v>232</v>
      </c>
      <c r="H5" s="546"/>
    </row>
    <row r="6" spans="1:8" ht="69" customHeight="1" x14ac:dyDescent="0.2">
      <c r="B6" s="264">
        <v>1</v>
      </c>
      <c r="C6" s="265" t="s">
        <v>233</v>
      </c>
      <c r="D6" s="266" t="s">
        <v>234</v>
      </c>
      <c r="E6" s="265" t="s">
        <v>235</v>
      </c>
      <c r="F6" s="266" t="s">
        <v>236</v>
      </c>
      <c r="G6" s="265" t="s">
        <v>237</v>
      </c>
      <c r="H6" s="267" t="s">
        <v>238</v>
      </c>
    </row>
    <row r="7" spans="1:8" ht="69" customHeight="1" x14ac:dyDescent="0.2">
      <c r="B7" s="268">
        <v>2</v>
      </c>
      <c r="C7" s="269" t="s">
        <v>239</v>
      </c>
      <c r="D7" s="270" t="s">
        <v>240</v>
      </c>
      <c r="E7" s="269" t="s">
        <v>241</v>
      </c>
      <c r="F7" s="270" t="s">
        <v>242</v>
      </c>
      <c r="G7" s="269" t="s">
        <v>243</v>
      </c>
      <c r="H7" s="271" t="s">
        <v>244</v>
      </c>
    </row>
    <row r="8" spans="1:8" ht="69" customHeight="1" x14ac:dyDescent="0.2">
      <c r="B8" s="268">
        <v>3</v>
      </c>
      <c r="C8" s="269" t="s">
        <v>245</v>
      </c>
      <c r="D8" s="270" t="s">
        <v>246</v>
      </c>
      <c r="E8" s="269" t="s">
        <v>247</v>
      </c>
      <c r="F8" s="270" t="s">
        <v>248</v>
      </c>
      <c r="G8" s="269" t="s">
        <v>26</v>
      </c>
      <c r="H8" s="271" t="s">
        <v>249</v>
      </c>
    </row>
    <row r="9" spans="1:8" ht="69" customHeight="1" x14ac:dyDescent="0.2">
      <c r="B9" s="268">
        <v>4</v>
      </c>
      <c r="C9" s="269" t="s">
        <v>250</v>
      </c>
      <c r="D9" s="270" t="s">
        <v>251</v>
      </c>
      <c r="E9" s="269" t="s">
        <v>252</v>
      </c>
      <c r="F9" s="270" t="s">
        <v>253</v>
      </c>
      <c r="G9" s="269" t="s">
        <v>254</v>
      </c>
      <c r="H9" s="271" t="s">
        <v>255</v>
      </c>
    </row>
    <row r="10" spans="1:8" ht="69" customHeight="1" x14ac:dyDescent="0.2">
      <c r="B10" s="268">
        <v>5</v>
      </c>
      <c r="C10" s="269" t="s">
        <v>256</v>
      </c>
      <c r="D10" s="270" t="s">
        <v>257</v>
      </c>
      <c r="E10" s="269" t="s">
        <v>258</v>
      </c>
      <c r="F10" s="270" t="s">
        <v>259</v>
      </c>
      <c r="G10" s="269" t="s">
        <v>250</v>
      </c>
      <c r="H10" s="271" t="s">
        <v>260</v>
      </c>
    </row>
    <row r="11" spans="1:8" ht="69" customHeight="1" x14ac:dyDescent="0.2">
      <c r="B11" s="268">
        <v>6</v>
      </c>
      <c r="C11" s="269" t="s">
        <v>261</v>
      </c>
      <c r="D11" s="270" t="s">
        <v>262</v>
      </c>
      <c r="E11" s="269" t="s">
        <v>263</v>
      </c>
      <c r="F11" s="270" t="s">
        <v>264</v>
      </c>
      <c r="G11" s="269" t="s">
        <v>265</v>
      </c>
      <c r="H11" s="271" t="s">
        <v>266</v>
      </c>
    </row>
    <row r="12" spans="1:8" ht="69" customHeight="1" x14ac:dyDescent="0.2">
      <c r="B12" s="268">
        <v>7</v>
      </c>
      <c r="C12" s="269" t="s">
        <v>267</v>
      </c>
      <c r="D12" s="270" t="s">
        <v>268</v>
      </c>
      <c r="E12" s="269" t="s">
        <v>269</v>
      </c>
      <c r="F12" s="270" t="s">
        <v>270</v>
      </c>
      <c r="G12" s="269" t="s">
        <v>271</v>
      </c>
      <c r="H12" s="271" t="s">
        <v>272</v>
      </c>
    </row>
    <row r="13" spans="1:8" ht="69" customHeight="1" x14ac:dyDescent="0.2">
      <c r="B13" s="268">
        <v>8</v>
      </c>
      <c r="C13" s="269" t="s">
        <v>273</v>
      </c>
      <c r="D13" s="270" t="s">
        <v>274</v>
      </c>
      <c r="E13" s="269" t="s">
        <v>275</v>
      </c>
      <c r="F13" s="270" t="s">
        <v>276</v>
      </c>
      <c r="G13" s="269" t="s">
        <v>277</v>
      </c>
      <c r="H13" s="271" t="s">
        <v>278</v>
      </c>
    </row>
    <row r="14" spans="1:8" ht="69" customHeight="1" x14ac:dyDescent="0.2">
      <c r="B14" s="268">
        <v>9</v>
      </c>
      <c r="C14" s="269" t="s">
        <v>279</v>
      </c>
      <c r="D14" s="270" t="s">
        <v>280</v>
      </c>
      <c r="E14" s="269" t="s">
        <v>281</v>
      </c>
      <c r="F14" s="270" t="s">
        <v>282</v>
      </c>
      <c r="G14" s="269" t="s">
        <v>283</v>
      </c>
      <c r="H14" s="271" t="s">
        <v>284</v>
      </c>
    </row>
    <row r="15" spans="1:8" ht="69" customHeight="1" thickBot="1" x14ac:dyDescent="0.25">
      <c r="B15" s="272">
        <v>10</v>
      </c>
      <c r="C15" s="273" t="s">
        <v>285</v>
      </c>
      <c r="D15" s="274" t="s">
        <v>286</v>
      </c>
      <c r="E15" s="273" t="s">
        <v>287</v>
      </c>
      <c r="F15" s="274" t="s">
        <v>288</v>
      </c>
      <c r="G15" s="273" t="s">
        <v>289</v>
      </c>
      <c r="H15" s="275" t="s">
        <v>290</v>
      </c>
    </row>
    <row r="17" ht="20.25" customHeight="1" x14ac:dyDescent="0.2"/>
  </sheetData>
  <mergeCells count="3">
    <mergeCell ref="C5:D5"/>
    <mergeCell ref="E5:F5"/>
    <mergeCell ref="G5:H5"/>
  </mergeCells>
  <conditionalFormatting sqref="B6:B15">
    <cfRule type="colorScale" priority="1">
      <colorScale>
        <cfvo type="num" val="1"/>
        <cfvo type="percentile" val="50"/>
        <cfvo type="num" val="10"/>
        <color rgb="FF00B050"/>
        <color rgb="FFFFEB84"/>
        <color rgb="FFFF0000"/>
      </colorScale>
    </cfRule>
  </conditionalFormatting>
  <pageMargins left="0.70866141732283472" right="0.70866141732283472" top="0.94488188976377963" bottom="0.74803149606299213" header="0.31496062992125984" footer="0.31496062992125984"/>
  <pageSetup paperSize="9" scale="39" orientation="portrait" r:id="rId1"/>
  <headerFooter>
    <oddHeader xml:space="preserve">&amp;L&amp;G&amp;CMatrices de pilotage des risques&amp;REnregistrement 
Réf. :ENR-QUA-10 
Indice :3.0
Confidentialité : Restreint   </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6BBB-6887-4C2D-B2F0-18E332FC7ECA}">
  <sheetPr>
    <tabColor theme="5" tint="0.39997558519241921"/>
  </sheetPr>
  <dimension ref="A1:AL52"/>
  <sheetViews>
    <sheetView showGridLines="0" tabSelected="1" topLeftCell="O9" zoomScale="85" zoomScaleNormal="85" zoomScaleSheetLayoutView="40" workbookViewId="0">
      <selection activeCell="AE16" sqref="AE16"/>
    </sheetView>
  </sheetViews>
  <sheetFormatPr baseColWidth="10" defaultColWidth="9.140625" defaultRowHeight="12.75" outlineLevelRow="1" x14ac:dyDescent="0.2"/>
  <cols>
    <col min="1" max="1" width="4.42578125" style="2" customWidth="1"/>
    <col min="2" max="2" width="9.140625" style="2"/>
    <col min="3" max="3" width="16.140625" style="2" customWidth="1"/>
    <col min="4" max="4" width="70" style="2" customWidth="1"/>
    <col min="5" max="5" width="13.5703125" style="2" customWidth="1"/>
    <col min="6" max="6" width="28" style="2" customWidth="1"/>
    <col min="7" max="7" width="25" style="2" customWidth="1"/>
    <col min="8" max="8" width="10" style="2" customWidth="1"/>
    <col min="9" max="9" width="26.42578125" style="2" customWidth="1"/>
    <col min="10" max="10" width="10" style="2" customWidth="1"/>
    <col min="11" max="11" width="33" style="2" customWidth="1"/>
    <col min="12" max="12" width="8.140625" style="2" customWidth="1"/>
    <col min="13" max="14" width="7" style="2" customWidth="1"/>
    <col min="15" max="15" width="38.7109375" style="2" customWidth="1"/>
    <col min="16" max="17" width="16.140625" style="2" customWidth="1"/>
    <col min="18" max="20" width="5.85546875" style="2" customWidth="1"/>
    <col min="21" max="21" width="4.28515625" style="2" customWidth="1"/>
    <col min="22" max="22" width="10" style="2" customWidth="1"/>
    <col min="23" max="23" width="42.85546875" style="2" customWidth="1"/>
    <col min="24" max="26" width="5.85546875" style="2" customWidth="1"/>
    <col min="27" max="27" width="4.28515625" style="2" customWidth="1"/>
    <col min="28" max="28" width="10" style="2" customWidth="1"/>
    <col min="29" max="30" width="10.140625" style="2" bestFit="1" customWidth="1"/>
    <col min="31" max="31" width="67" style="2" customWidth="1"/>
    <col min="32" max="32" width="0" style="2" hidden="1" customWidth="1"/>
    <col min="33" max="16384" width="9.140625" style="2"/>
  </cols>
  <sheetData>
    <row r="1" spans="1:38" ht="19.5" customHeight="1" x14ac:dyDescent="0.2">
      <c r="S1" s="6"/>
      <c r="Y1" s="6"/>
      <c r="Z1" s="511" t="str">
        <f>"0 - "&amp;AE1</f>
        <v>0 - 249</v>
      </c>
      <c r="AA1" s="511"/>
      <c r="AB1" s="511" t="s">
        <v>76</v>
      </c>
      <c r="AC1" s="511"/>
      <c r="AD1" s="511"/>
      <c r="AE1" s="3">
        <v>249</v>
      </c>
      <c r="AF1" s="2">
        <v>1</v>
      </c>
    </row>
    <row r="2" spans="1:38" ht="46.5" customHeight="1" x14ac:dyDescent="0.2">
      <c r="B2" s="173" t="s">
        <v>291</v>
      </c>
      <c r="I2" s="2" t="s">
        <v>292</v>
      </c>
      <c r="S2" s="6"/>
      <c r="Y2" s="6"/>
      <c r="Z2" s="512" t="str">
        <f>(AE1+1)&amp;" - "&amp;AE2</f>
        <v>250 - 499</v>
      </c>
      <c r="AA2" s="512"/>
      <c r="AB2" s="512" t="s">
        <v>77</v>
      </c>
      <c r="AC2" s="512"/>
      <c r="AD2" s="512"/>
      <c r="AE2" s="3">
        <v>499</v>
      </c>
      <c r="AF2" s="2">
        <v>2</v>
      </c>
    </row>
    <row r="3" spans="1:38" ht="26.25" customHeight="1" x14ac:dyDescent="0.2">
      <c r="S3" s="6"/>
      <c r="Y3" s="6"/>
      <c r="Z3" s="209"/>
      <c r="AA3" s="209"/>
      <c r="AB3" s="209"/>
      <c r="AC3" s="209"/>
      <c r="AD3" s="209"/>
      <c r="AE3" s="3"/>
    </row>
    <row r="4" spans="1:38" ht="25.5" customHeight="1" x14ac:dyDescent="0.35">
      <c r="B4" s="476" t="s">
        <v>293</v>
      </c>
      <c r="C4" s="277"/>
      <c r="D4" s="278" t="s">
        <v>294</v>
      </c>
      <c r="E4" s="279"/>
      <c r="F4" s="279"/>
      <c r="G4" s="280"/>
      <c r="H4" s="162"/>
      <c r="I4" s="162"/>
      <c r="J4" s="162"/>
      <c r="K4" s="162"/>
      <c r="L4" s="162"/>
      <c r="M4" s="162"/>
      <c r="N4" s="162"/>
      <c r="O4" s="162"/>
      <c r="P4" s="162"/>
      <c r="Q4" s="281"/>
      <c r="R4" s="281"/>
      <c r="S4" s="282"/>
      <c r="T4" s="281"/>
      <c r="U4" s="281"/>
      <c r="V4" s="281"/>
      <c r="W4" s="281"/>
      <c r="X4" s="281"/>
      <c r="Y4" s="282"/>
      <c r="Z4" s="513" t="str">
        <f>(AE2+1)&amp;" - "&amp;AE4</f>
        <v>500 - 749</v>
      </c>
      <c r="AA4" s="513"/>
      <c r="AB4" s="513" t="s">
        <v>78</v>
      </c>
      <c r="AC4" s="513"/>
      <c r="AD4" s="513"/>
      <c r="AE4" s="283">
        <v>749</v>
      </c>
      <c r="AF4" s="2">
        <v>3</v>
      </c>
    </row>
    <row r="5" spans="1:38" ht="32.25" customHeight="1" x14ac:dyDescent="0.35">
      <c r="B5" s="477"/>
      <c r="C5" s="284"/>
      <c r="D5" s="285" t="s">
        <v>295</v>
      </c>
      <c r="E5" s="286"/>
      <c r="F5" s="278" t="s">
        <v>296</v>
      </c>
      <c r="G5" s="287"/>
      <c r="H5" s="162"/>
      <c r="I5" s="162"/>
      <c r="J5" s="162"/>
      <c r="K5" s="162"/>
      <c r="L5" s="162"/>
      <c r="M5" s="162"/>
      <c r="N5" s="162"/>
      <c r="O5" s="162"/>
      <c r="P5" s="162"/>
      <c r="Q5" s="288"/>
      <c r="R5" s="288"/>
      <c r="S5" s="282"/>
      <c r="T5" s="288"/>
      <c r="U5" s="288"/>
      <c r="V5" s="288"/>
      <c r="W5" s="288"/>
      <c r="X5" s="288"/>
      <c r="Y5" s="282"/>
      <c r="Z5" s="488" t="str">
        <f>(AE4+1)&amp;" - "&amp;AE5</f>
        <v>750 - 1000</v>
      </c>
      <c r="AA5" s="488"/>
      <c r="AB5" s="488" t="s">
        <v>79</v>
      </c>
      <c r="AC5" s="488"/>
      <c r="AD5" s="488"/>
      <c r="AE5" s="283">
        <v>1000</v>
      </c>
      <c r="AF5" s="2">
        <v>4</v>
      </c>
    </row>
    <row r="6" spans="1:38" ht="15.75" customHeight="1" thickBot="1" x14ac:dyDescent="0.4">
      <c r="B6" s="162"/>
      <c r="C6" s="289"/>
      <c r="D6" s="289"/>
      <c r="E6" s="290"/>
      <c r="F6" s="289"/>
      <c r="G6" s="291"/>
      <c r="H6" s="291"/>
      <c r="I6" s="291"/>
      <c r="J6" s="162"/>
      <c r="K6" s="292"/>
      <c r="L6" s="290"/>
      <c r="M6" s="290"/>
      <c r="N6" s="290"/>
      <c r="O6" s="281"/>
      <c r="P6" s="288"/>
      <c r="Q6" s="288"/>
      <c r="R6" s="288"/>
      <c r="S6" s="282"/>
      <c r="T6" s="293"/>
      <c r="U6" s="293"/>
      <c r="V6" s="293"/>
      <c r="W6" s="288"/>
      <c r="X6" s="288"/>
      <c r="Y6" s="282"/>
      <c r="Z6" s="293"/>
      <c r="AA6" s="293"/>
      <c r="AB6" s="293"/>
      <c r="AC6" s="293"/>
      <c r="AD6" s="293"/>
      <c r="AE6" s="288"/>
      <c r="AF6" s="2">
        <v>5</v>
      </c>
    </row>
    <row r="7" spans="1:38" s="365" customFormat="1" ht="20.25" customHeight="1" thickBot="1" x14ac:dyDescent="0.3">
      <c r="B7" s="366" t="s">
        <v>297</v>
      </c>
      <c r="C7" s="367"/>
      <c r="D7" s="367"/>
      <c r="E7" s="294"/>
      <c r="F7" s="368"/>
      <c r="G7" s="369" t="s">
        <v>298</v>
      </c>
      <c r="H7" s="370"/>
      <c r="I7" s="371" t="s">
        <v>299</v>
      </c>
      <c r="J7" s="372"/>
      <c r="K7" s="373" t="s">
        <v>300</v>
      </c>
      <c r="L7" s="374"/>
      <c r="M7" s="295" t="s">
        <v>71</v>
      </c>
      <c r="N7" s="296"/>
      <c r="O7" s="297" t="s">
        <v>301</v>
      </c>
      <c r="P7" s="298"/>
      <c r="Q7" s="298"/>
      <c r="R7" s="299" t="s">
        <v>302</v>
      </c>
      <c r="S7" s="294"/>
      <c r="T7" s="294"/>
      <c r="U7" s="294"/>
      <c r="V7" s="300"/>
      <c r="W7" s="301"/>
      <c r="X7" s="299" t="s">
        <v>303</v>
      </c>
      <c r="Y7" s="294"/>
      <c r="Z7" s="294"/>
      <c r="AA7" s="294"/>
      <c r="AB7" s="300"/>
      <c r="AC7" s="489" t="s">
        <v>304</v>
      </c>
      <c r="AD7" s="490"/>
      <c r="AE7" s="301"/>
      <c r="AF7" s="375">
        <v>6</v>
      </c>
    </row>
    <row r="8" spans="1:38" s="149" customFormat="1" ht="54" customHeight="1" thickBot="1" x14ac:dyDescent="0.25">
      <c r="A8" s="29"/>
      <c r="B8" s="302" t="s">
        <v>305</v>
      </c>
      <c r="C8" s="303" t="s">
        <v>306</v>
      </c>
      <c r="D8" s="304" t="s">
        <v>307</v>
      </c>
      <c r="E8" s="305" t="s">
        <v>308</v>
      </c>
      <c r="F8" s="306" t="s">
        <v>309</v>
      </c>
      <c r="G8" s="307" t="s">
        <v>310</v>
      </c>
      <c r="H8" s="306" t="s">
        <v>311</v>
      </c>
      <c r="I8" s="307" t="s">
        <v>312</v>
      </c>
      <c r="J8" s="306" t="s">
        <v>313</v>
      </c>
      <c r="K8" s="307" t="s">
        <v>314</v>
      </c>
      <c r="L8" s="306" t="s">
        <v>315</v>
      </c>
      <c r="M8" s="308" t="s">
        <v>316</v>
      </c>
      <c r="N8" s="309" t="s">
        <v>317</v>
      </c>
      <c r="O8" s="303" t="s">
        <v>318</v>
      </c>
      <c r="P8" s="305" t="s">
        <v>319</v>
      </c>
      <c r="Q8" s="305" t="s">
        <v>320</v>
      </c>
      <c r="R8" s="310" t="s">
        <v>311</v>
      </c>
      <c r="S8" s="311" t="s">
        <v>313</v>
      </c>
      <c r="T8" s="309" t="s">
        <v>315</v>
      </c>
      <c r="U8" s="310" t="s">
        <v>316</v>
      </c>
      <c r="V8" s="312" t="s">
        <v>317</v>
      </c>
      <c r="W8" s="306" t="s">
        <v>321</v>
      </c>
      <c r="X8" s="310" t="s">
        <v>311</v>
      </c>
      <c r="Y8" s="311" t="s">
        <v>313</v>
      </c>
      <c r="Z8" s="309" t="s">
        <v>315</v>
      </c>
      <c r="AA8" s="310" t="s">
        <v>316</v>
      </c>
      <c r="AB8" s="312" t="s">
        <v>317</v>
      </c>
      <c r="AC8" s="303" t="s">
        <v>322</v>
      </c>
      <c r="AD8" s="306" t="s">
        <v>323</v>
      </c>
      <c r="AE8" s="306" t="s">
        <v>198</v>
      </c>
      <c r="AF8" s="149">
        <v>7</v>
      </c>
    </row>
    <row r="9" spans="1:38" s="60" customFormat="1" ht="115.5" outlineLevel="1" x14ac:dyDescent="0.2">
      <c r="B9" s="491"/>
      <c r="C9" s="493" t="s">
        <v>324</v>
      </c>
      <c r="D9" s="495" t="s">
        <v>325</v>
      </c>
      <c r="E9" s="497" t="s">
        <v>326</v>
      </c>
      <c r="F9" s="499" t="s">
        <v>327</v>
      </c>
      <c r="G9" s="501" t="s">
        <v>328</v>
      </c>
      <c r="H9" s="313" t="s">
        <v>329</v>
      </c>
      <c r="I9" s="503" t="s">
        <v>330</v>
      </c>
      <c r="J9" s="314" t="s">
        <v>331</v>
      </c>
      <c r="K9" s="486" t="s">
        <v>332</v>
      </c>
      <c r="L9" s="315" t="s">
        <v>333</v>
      </c>
      <c r="M9" s="480" t="s">
        <v>334</v>
      </c>
      <c r="N9" s="482" t="s">
        <v>335</v>
      </c>
      <c r="O9" s="505" t="s">
        <v>336</v>
      </c>
      <c r="P9" s="497" t="s">
        <v>337</v>
      </c>
      <c r="Q9" s="507" t="s">
        <v>338</v>
      </c>
      <c r="R9" s="478" t="s">
        <v>329</v>
      </c>
      <c r="S9" s="480" t="s">
        <v>331</v>
      </c>
      <c r="T9" s="482" t="s">
        <v>333</v>
      </c>
      <c r="U9" s="478" t="s">
        <v>334</v>
      </c>
      <c r="V9" s="484"/>
      <c r="W9" s="474" t="s">
        <v>339</v>
      </c>
      <c r="X9" s="478" t="s">
        <v>329</v>
      </c>
      <c r="Y9" s="480" t="s">
        <v>331</v>
      </c>
      <c r="Z9" s="482" t="s">
        <v>333</v>
      </c>
      <c r="AA9" s="478" t="s">
        <v>334</v>
      </c>
      <c r="AB9" s="484"/>
      <c r="AC9" s="478" t="s">
        <v>322</v>
      </c>
      <c r="AD9" s="509" t="s">
        <v>340</v>
      </c>
      <c r="AE9" s="474"/>
      <c r="AF9" s="2">
        <v>8</v>
      </c>
      <c r="AG9" s="2"/>
      <c r="AH9" s="2"/>
      <c r="AI9" s="2"/>
      <c r="AJ9" s="2"/>
    </row>
    <row r="10" spans="1:38" s="60" customFormat="1" ht="83.25" outlineLevel="1" thickBot="1" x14ac:dyDescent="0.25">
      <c r="B10" s="492"/>
      <c r="C10" s="494"/>
      <c r="D10" s="496"/>
      <c r="E10" s="498"/>
      <c r="F10" s="500"/>
      <c r="G10" s="502"/>
      <c r="H10" s="316" t="s">
        <v>341</v>
      </c>
      <c r="I10" s="504"/>
      <c r="J10" s="316" t="s">
        <v>341</v>
      </c>
      <c r="K10" s="487"/>
      <c r="L10" s="316" t="s">
        <v>341</v>
      </c>
      <c r="M10" s="481"/>
      <c r="N10" s="483"/>
      <c r="O10" s="506"/>
      <c r="P10" s="498"/>
      <c r="Q10" s="508"/>
      <c r="R10" s="479"/>
      <c r="S10" s="481"/>
      <c r="T10" s="483"/>
      <c r="U10" s="479"/>
      <c r="V10" s="485"/>
      <c r="W10" s="475"/>
      <c r="X10" s="479"/>
      <c r="Y10" s="481"/>
      <c r="Z10" s="483"/>
      <c r="AA10" s="479"/>
      <c r="AB10" s="485"/>
      <c r="AC10" s="479"/>
      <c r="AD10" s="510"/>
      <c r="AE10" s="475"/>
      <c r="AF10" s="2">
        <v>9</v>
      </c>
      <c r="AG10" s="2"/>
      <c r="AH10" s="2"/>
      <c r="AI10" s="2"/>
      <c r="AJ10" s="2"/>
    </row>
    <row r="11" spans="1:38" s="4" customFormat="1" ht="115.5" x14ac:dyDescent="0.2">
      <c r="B11" s="317" t="s">
        <v>205</v>
      </c>
      <c r="C11" s="318" t="s">
        <v>106</v>
      </c>
      <c r="D11" s="319" t="s">
        <v>466</v>
      </c>
      <c r="E11" s="320">
        <v>46267</v>
      </c>
      <c r="F11" s="321" t="s">
        <v>467</v>
      </c>
      <c r="G11" s="322" t="s">
        <v>468</v>
      </c>
      <c r="H11" s="323">
        <v>9</v>
      </c>
      <c r="I11" s="324" t="s">
        <v>469</v>
      </c>
      <c r="J11" s="325">
        <v>5</v>
      </c>
      <c r="K11" s="326" t="s">
        <v>470</v>
      </c>
      <c r="L11" s="327">
        <v>7</v>
      </c>
      <c r="M11" s="328">
        <f t="shared" ref="M11:M35" si="0">IF(H11+J11=0," ",H11*J11)</f>
        <v>45</v>
      </c>
      <c r="N11" s="329">
        <f t="shared" ref="N11:N38" si="1">IF(H11+J11+L11=0,"-",H11*J11*L11)</f>
        <v>315</v>
      </c>
      <c r="O11" s="318" t="s">
        <v>471</v>
      </c>
      <c r="P11" s="330" t="s">
        <v>472</v>
      </c>
      <c r="Q11" s="331">
        <v>46277</v>
      </c>
      <c r="R11" s="332">
        <v>7</v>
      </c>
      <c r="S11" s="333">
        <v>2</v>
      </c>
      <c r="T11" s="334">
        <v>3</v>
      </c>
      <c r="U11" s="335">
        <f t="shared" ref="U11:U38" si="2">IF(R11+S11=0," ",R11*S11)</f>
        <v>14</v>
      </c>
      <c r="V11" s="329">
        <f t="shared" ref="V11:V38" si="3">IF(R11+S11+T11=0,"-",R11*S11*T11)</f>
        <v>42</v>
      </c>
      <c r="W11" s="336"/>
      <c r="X11" s="332"/>
      <c r="Y11" s="333"/>
      <c r="Z11" s="334"/>
      <c r="AA11" s="335" t="str">
        <f t="shared" ref="AA11:AA38" si="4">IF(X11+Y11=0," ",X11*Y11)</f>
        <v xml:space="preserve"> </v>
      </c>
      <c r="AB11" s="329" t="str">
        <f t="shared" ref="AB11:AB38" si="5">IF(X11+Y11+Z11=0,"-",X11*Y11*Z11)</f>
        <v>-</v>
      </c>
      <c r="AC11" s="335" t="str">
        <f>IF(AB11="-",AD11,IF(AB11&gt;$AE$4,"Very High",IF(AB11&gt;$AE$2,"High",IF(AB11&gt;$AE$1,"Medium",IF(AB11&gt;0,"Low","")))))</f>
        <v>Medium</v>
      </c>
      <c r="AD11" s="329" t="str">
        <f t="shared" ref="AD11:AD38" si="6">IF(N11="-","-",IF(N11&gt;$AE$4,"Very High",IF(N11&gt;$AE$2,"High",IF(N11&gt;$AE$1,"Medium",IF(N11&gt;0,"Low","")))))</f>
        <v>Medium</v>
      </c>
      <c r="AE11" s="336" t="s">
        <v>473</v>
      </c>
      <c r="AF11" s="2">
        <v>10</v>
      </c>
      <c r="AL11" s="81"/>
    </row>
    <row r="12" spans="1:38" s="4" customFormat="1" ht="66" x14ac:dyDescent="0.25">
      <c r="B12" s="317" t="s">
        <v>201</v>
      </c>
      <c r="C12" s="318" t="s">
        <v>107</v>
      </c>
      <c r="D12" t="s">
        <v>476</v>
      </c>
      <c r="E12" s="320">
        <v>46278</v>
      </c>
      <c r="F12" s="321" t="s">
        <v>474</v>
      </c>
      <c r="G12" s="322" t="s">
        <v>475</v>
      </c>
      <c r="H12" s="323">
        <v>6</v>
      </c>
      <c r="I12" s="337" t="s">
        <v>477</v>
      </c>
      <c r="J12" s="325">
        <v>6</v>
      </c>
      <c r="K12" s="326" t="s">
        <v>478</v>
      </c>
      <c r="L12" s="327">
        <v>5</v>
      </c>
      <c r="M12" s="328">
        <f t="shared" si="0"/>
        <v>36</v>
      </c>
      <c r="N12" s="329">
        <f t="shared" si="1"/>
        <v>180</v>
      </c>
      <c r="O12" s="318" t="s">
        <v>479</v>
      </c>
      <c r="P12" s="330" t="s">
        <v>480</v>
      </c>
      <c r="Q12" s="331">
        <v>46307</v>
      </c>
      <c r="R12" s="332">
        <v>6</v>
      </c>
      <c r="S12" s="333">
        <v>3</v>
      </c>
      <c r="T12" s="334">
        <v>3</v>
      </c>
      <c r="U12" s="335">
        <f t="shared" si="2"/>
        <v>18</v>
      </c>
      <c r="V12" s="329">
        <f t="shared" si="3"/>
        <v>54</v>
      </c>
      <c r="W12" s="336"/>
      <c r="X12" s="332"/>
      <c r="Y12" s="333"/>
      <c r="Z12" s="334"/>
      <c r="AA12" s="335" t="str">
        <f t="shared" si="4"/>
        <v xml:space="preserve"> </v>
      </c>
      <c r="AB12" s="329" t="str">
        <f t="shared" si="5"/>
        <v>-</v>
      </c>
      <c r="AC12" s="335" t="str">
        <f t="shared" ref="AC12:AC38" si="7">IF(AB12="-",AD12,IF(AB12&gt;$AE$4,"Very High",IF(AB12&gt;$AE$2,"High",IF(AB12&gt;$AE$1,"Medium",IF(AB12&gt;0,"Low","")))))</f>
        <v>Low</v>
      </c>
      <c r="AD12" s="329" t="str">
        <f t="shared" si="6"/>
        <v>Low</v>
      </c>
      <c r="AE12" s="336" t="s">
        <v>481</v>
      </c>
      <c r="AL12" s="81"/>
    </row>
    <row r="13" spans="1:38" s="4" customFormat="1" ht="82.5" x14ac:dyDescent="0.25">
      <c r="B13" s="317" t="s">
        <v>207</v>
      </c>
      <c r="C13" s="318" t="s">
        <v>103</v>
      </c>
      <c r="D13" s="338" t="s">
        <v>482</v>
      </c>
      <c r="E13" s="320">
        <v>46278</v>
      </c>
      <c r="F13" s="321" t="s">
        <v>483</v>
      </c>
      <c r="G13" s="322" t="s">
        <v>484</v>
      </c>
      <c r="H13" s="323">
        <v>7</v>
      </c>
      <c r="I13" s="337" t="s">
        <v>485</v>
      </c>
      <c r="J13" s="325">
        <v>5</v>
      </c>
      <c r="K13" s="326" t="s">
        <v>486</v>
      </c>
      <c r="L13" s="327">
        <v>5</v>
      </c>
      <c r="M13" s="328">
        <f>IF(H13+J13=0," ",H13*J13)</f>
        <v>35</v>
      </c>
      <c r="N13" s="329">
        <f t="shared" si="1"/>
        <v>175</v>
      </c>
      <c r="O13" s="318" t="s">
        <v>487</v>
      </c>
      <c r="P13" s="330" t="s">
        <v>488</v>
      </c>
      <c r="Q13" s="331">
        <v>46371</v>
      </c>
      <c r="R13" s="332">
        <v>7</v>
      </c>
      <c r="S13" s="333">
        <v>3</v>
      </c>
      <c r="T13" s="334">
        <v>3</v>
      </c>
      <c r="U13" s="335">
        <f t="shared" si="2"/>
        <v>21</v>
      </c>
      <c r="V13" s="329">
        <f t="shared" si="3"/>
        <v>63</v>
      </c>
      <c r="W13" s="336"/>
      <c r="X13" s="332"/>
      <c r="Y13" s="333"/>
      <c r="Z13" s="334"/>
      <c r="AA13" s="335" t="str">
        <f t="shared" si="4"/>
        <v xml:space="preserve"> </v>
      </c>
      <c r="AB13" s="329" t="str">
        <f t="shared" si="5"/>
        <v>-</v>
      </c>
      <c r="AC13" s="335" t="str">
        <f t="shared" si="7"/>
        <v>Low</v>
      </c>
      <c r="AD13" s="329" t="str">
        <f t="shared" si="6"/>
        <v>Low</v>
      </c>
      <c r="AE13" s="336" t="s">
        <v>489</v>
      </c>
      <c r="AL13" s="81"/>
    </row>
    <row r="14" spans="1:38" s="4" customFormat="1" ht="66" x14ac:dyDescent="0.25">
      <c r="B14" s="317" t="s">
        <v>208</v>
      </c>
      <c r="C14" s="318" t="s">
        <v>104</v>
      </c>
      <c r="D14" s="338" t="s">
        <v>490</v>
      </c>
      <c r="E14" s="320">
        <v>46300</v>
      </c>
      <c r="F14" s="321" t="s">
        <v>491</v>
      </c>
      <c r="G14" s="322" t="s">
        <v>492</v>
      </c>
      <c r="H14" s="323">
        <v>8</v>
      </c>
      <c r="I14" s="337" t="s">
        <v>493</v>
      </c>
      <c r="J14" s="325">
        <v>6</v>
      </c>
      <c r="K14" s="326" t="s">
        <v>494</v>
      </c>
      <c r="L14" s="327">
        <v>4</v>
      </c>
      <c r="M14" s="328">
        <f t="shared" si="0"/>
        <v>48</v>
      </c>
      <c r="N14" s="329">
        <f t="shared" si="1"/>
        <v>192</v>
      </c>
      <c r="O14" s="318" t="s">
        <v>495</v>
      </c>
      <c r="P14" s="330" t="s">
        <v>480</v>
      </c>
      <c r="Q14" s="331">
        <v>46336</v>
      </c>
      <c r="R14" s="332">
        <v>8</v>
      </c>
      <c r="S14" s="333">
        <v>3</v>
      </c>
      <c r="T14" s="334">
        <v>2</v>
      </c>
      <c r="U14" s="335">
        <f t="shared" si="2"/>
        <v>24</v>
      </c>
      <c r="V14" s="329">
        <f t="shared" si="3"/>
        <v>48</v>
      </c>
      <c r="W14" s="336"/>
      <c r="X14" s="332"/>
      <c r="Y14" s="333"/>
      <c r="Z14" s="334"/>
      <c r="AA14" s="335" t="str">
        <f t="shared" si="4"/>
        <v xml:space="preserve"> </v>
      </c>
      <c r="AB14" s="329" t="str">
        <f t="shared" si="5"/>
        <v>-</v>
      </c>
      <c r="AC14" s="335" t="str">
        <f t="shared" si="7"/>
        <v>Low</v>
      </c>
      <c r="AD14" s="329" t="str">
        <f t="shared" si="6"/>
        <v>Low</v>
      </c>
      <c r="AE14" s="336" t="s">
        <v>496</v>
      </c>
      <c r="AL14" s="81"/>
    </row>
    <row r="15" spans="1:38" s="4" customFormat="1" ht="82.5" x14ac:dyDescent="0.25">
      <c r="B15" s="317" t="s">
        <v>209</v>
      </c>
      <c r="C15" s="318" t="s">
        <v>104</v>
      </c>
      <c r="D15" s="338" t="s">
        <v>497</v>
      </c>
      <c r="E15" s="320">
        <v>46336</v>
      </c>
      <c r="F15" s="321" t="s">
        <v>498</v>
      </c>
      <c r="G15" s="322" t="s">
        <v>499</v>
      </c>
      <c r="H15" s="323">
        <v>7</v>
      </c>
      <c r="I15" s="324" t="s">
        <v>500</v>
      </c>
      <c r="J15" s="325">
        <v>4</v>
      </c>
      <c r="K15" s="326" t="s">
        <v>501</v>
      </c>
      <c r="L15" s="327">
        <v>5</v>
      </c>
      <c r="M15" s="328">
        <f t="shared" si="0"/>
        <v>28</v>
      </c>
      <c r="N15" s="329">
        <f t="shared" si="1"/>
        <v>140</v>
      </c>
      <c r="O15" s="318" t="s">
        <v>502</v>
      </c>
      <c r="P15" s="330" t="s">
        <v>452</v>
      </c>
      <c r="Q15" s="331">
        <v>46349</v>
      </c>
      <c r="R15" s="332">
        <v>7</v>
      </c>
      <c r="S15" s="333">
        <v>2</v>
      </c>
      <c r="T15" s="334">
        <v>3</v>
      </c>
      <c r="U15" s="335">
        <f t="shared" si="2"/>
        <v>14</v>
      </c>
      <c r="V15" s="329">
        <f t="shared" si="3"/>
        <v>42</v>
      </c>
      <c r="W15" s="336"/>
      <c r="X15" s="332"/>
      <c r="Y15" s="333"/>
      <c r="Z15" s="334"/>
      <c r="AA15" s="335" t="str">
        <f t="shared" si="4"/>
        <v xml:space="preserve"> </v>
      </c>
      <c r="AB15" s="329" t="str">
        <f t="shared" si="5"/>
        <v>-</v>
      </c>
      <c r="AC15" s="335" t="str">
        <f t="shared" si="7"/>
        <v>Low</v>
      </c>
      <c r="AD15" s="329" t="str">
        <f t="shared" si="6"/>
        <v>Low</v>
      </c>
      <c r="AE15" s="336" t="s">
        <v>503</v>
      </c>
      <c r="AL15" s="81"/>
    </row>
    <row r="16" spans="1:38" s="4" customFormat="1" ht="82.5" x14ac:dyDescent="0.25">
      <c r="B16" s="317" t="s">
        <v>451</v>
      </c>
      <c r="C16" s="318" t="s">
        <v>103</v>
      </c>
      <c r="D16" s="338" t="s">
        <v>504</v>
      </c>
      <c r="E16" s="320">
        <v>46268</v>
      </c>
      <c r="F16" s="321" t="s">
        <v>505</v>
      </c>
      <c r="G16" s="322" t="s">
        <v>506</v>
      </c>
      <c r="H16" s="323">
        <v>9</v>
      </c>
      <c r="I16" s="324" t="s">
        <v>507</v>
      </c>
      <c r="J16" s="325">
        <v>4</v>
      </c>
      <c r="K16" s="326" t="s">
        <v>508</v>
      </c>
      <c r="L16" s="327">
        <v>7</v>
      </c>
      <c r="M16" s="328">
        <f t="shared" si="0"/>
        <v>36</v>
      </c>
      <c r="N16" s="329">
        <f t="shared" si="1"/>
        <v>252</v>
      </c>
      <c r="O16" s="318" t="s">
        <v>509</v>
      </c>
      <c r="P16" s="330" t="s">
        <v>510</v>
      </c>
      <c r="Q16" s="331">
        <v>46285</v>
      </c>
      <c r="R16" s="332">
        <v>9</v>
      </c>
      <c r="S16" s="333">
        <v>2</v>
      </c>
      <c r="T16" s="334">
        <v>3</v>
      </c>
      <c r="U16" s="335">
        <f t="shared" si="2"/>
        <v>18</v>
      </c>
      <c r="V16" s="329">
        <f t="shared" si="3"/>
        <v>54</v>
      </c>
      <c r="W16" s="336"/>
      <c r="X16" s="332"/>
      <c r="Y16" s="333"/>
      <c r="Z16" s="334"/>
      <c r="AA16" s="335" t="str">
        <f t="shared" si="4"/>
        <v xml:space="preserve"> </v>
      </c>
      <c r="AB16" s="329" t="str">
        <f t="shared" si="5"/>
        <v>-</v>
      </c>
      <c r="AC16" s="335" t="str">
        <f t="shared" si="7"/>
        <v>Medium</v>
      </c>
      <c r="AD16" s="329" t="str">
        <f t="shared" si="6"/>
        <v>Medium</v>
      </c>
      <c r="AE16" s="336" t="s">
        <v>511</v>
      </c>
      <c r="AL16" s="81"/>
    </row>
    <row r="17" spans="2:38" s="4" customFormat="1" ht="16.5" x14ac:dyDescent="0.25">
      <c r="B17" s="317"/>
      <c r="C17" s="318"/>
      <c r="D17" s="338"/>
      <c r="E17" s="320"/>
      <c r="F17" s="321"/>
      <c r="G17" s="322"/>
      <c r="H17" s="323"/>
      <c r="I17" s="324"/>
      <c r="J17" s="325"/>
      <c r="K17" s="326"/>
      <c r="L17" s="327"/>
      <c r="M17" s="328" t="str">
        <f t="shared" si="0"/>
        <v xml:space="preserve"> </v>
      </c>
      <c r="N17" s="329" t="str">
        <f t="shared" si="1"/>
        <v>-</v>
      </c>
      <c r="O17" s="318"/>
      <c r="P17" s="330"/>
      <c r="Q17" s="331"/>
      <c r="R17" s="332"/>
      <c r="S17" s="333"/>
      <c r="T17" s="334"/>
      <c r="U17" s="335" t="str">
        <f t="shared" si="2"/>
        <v xml:space="preserve"> </v>
      </c>
      <c r="V17" s="329" t="str">
        <f t="shared" si="3"/>
        <v>-</v>
      </c>
      <c r="W17" s="336"/>
      <c r="X17" s="332"/>
      <c r="Y17" s="333"/>
      <c r="Z17" s="334"/>
      <c r="AA17" s="335" t="str">
        <f t="shared" si="4"/>
        <v xml:space="preserve"> </v>
      </c>
      <c r="AB17" s="329" t="str">
        <f t="shared" si="5"/>
        <v>-</v>
      </c>
      <c r="AC17" s="335" t="str">
        <f t="shared" si="7"/>
        <v>-</v>
      </c>
      <c r="AD17" s="329" t="str">
        <f t="shared" si="6"/>
        <v>-</v>
      </c>
      <c r="AE17" s="336"/>
      <c r="AL17" s="81"/>
    </row>
    <row r="18" spans="2:38" s="4" customFormat="1" ht="16.5" x14ac:dyDescent="0.25">
      <c r="B18" s="317"/>
      <c r="C18" s="318"/>
      <c r="D18" s="338"/>
      <c r="E18" s="320"/>
      <c r="F18" s="321"/>
      <c r="G18" s="322"/>
      <c r="H18" s="323"/>
      <c r="I18" s="324"/>
      <c r="J18" s="325"/>
      <c r="K18" s="339"/>
      <c r="L18" s="327"/>
      <c r="M18" s="328" t="str">
        <f t="shared" si="0"/>
        <v xml:space="preserve"> </v>
      </c>
      <c r="N18" s="329" t="str">
        <f t="shared" si="1"/>
        <v>-</v>
      </c>
      <c r="O18" s="318"/>
      <c r="P18" s="330"/>
      <c r="Q18" s="331"/>
      <c r="R18" s="332"/>
      <c r="S18" s="333"/>
      <c r="T18" s="334"/>
      <c r="U18" s="335" t="str">
        <f t="shared" si="2"/>
        <v xml:space="preserve"> </v>
      </c>
      <c r="V18" s="329" t="str">
        <f t="shared" si="3"/>
        <v>-</v>
      </c>
      <c r="W18" s="336"/>
      <c r="X18" s="332"/>
      <c r="Y18" s="333"/>
      <c r="Z18" s="334"/>
      <c r="AA18" s="335" t="str">
        <f t="shared" si="4"/>
        <v xml:space="preserve"> </v>
      </c>
      <c r="AB18" s="329" t="str">
        <f t="shared" si="5"/>
        <v>-</v>
      </c>
      <c r="AC18" s="335" t="str">
        <f t="shared" si="7"/>
        <v>-</v>
      </c>
      <c r="AD18" s="329" t="str">
        <f t="shared" si="6"/>
        <v>-</v>
      </c>
      <c r="AE18" s="336"/>
      <c r="AL18" s="81"/>
    </row>
    <row r="19" spans="2:38" s="4" customFormat="1" ht="16.5" x14ac:dyDescent="0.25">
      <c r="B19" s="317"/>
      <c r="C19" s="318"/>
      <c r="D19" s="338"/>
      <c r="E19" s="320"/>
      <c r="F19" s="321"/>
      <c r="G19" s="322"/>
      <c r="H19" s="323"/>
      <c r="I19" s="324"/>
      <c r="J19" s="325"/>
      <c r="K19" s="326"/>
      <c r="L19" s="327"/>
      <c r="M19" s="328" t="str">
        <f t="shared" si="0"/>
        <v xml:space="preserve"> </v>
      </c>
      <c r="N19" s="329" t="str">
        <f t="shared" si="1"/>
        <v>-</v>
      </c>
      <c r="O19" s="318"/>
      <c r="P19" s="330"/>
      <c r="Q19" s="331"/>
      <c r="R19" s="332"/>
      <c r="S19" s="333"/>
      <c r="T19" s="334"/>
      <c r="U19" s="335" t="str">
        <f t="shared" si="2"/>
        <v xml:space="preserve"> </v>
      </c>
      <c r="V19" s="329" t="str">
        <f t="shared" si="3"/>
        <v>-</v>
      </c>
      <c r="W19" s="340"/>
      <c r="X19" s="332"/>
      <c r="Y19" s="333"/>
      <c r="Z19" s="334"/>
      <c r="AA19" s="335" t="str">
        <f t="shared" si="4"/>
        <v xml:space="preserve"> </v>
      </c>
      <c r="AB19" s="329" t="str">
        <f t="shared" si="5"/>
        <v>-</v>
      </c>
      <c r="AC19" s="335" t="str">
        <f t="shared" si="7"/>
        <v>-</v>
      </c>
      <c r="AD19" s="329" t="str">
        <f t="shared" si="6"/>
        <v>-</v>
      </c>
      <c r="AE19" s="340"/>
      <c r="AL19" s="81"/>
    </row>
    <row r="20" spans="2:38" s="4" customFormat="1" ht="16.5" x14ac:dyDescent="0.25">
      <c r="B20" s="317"/>
      <c r="C20" s="318"/>
      <c r="D20" s="338"/>
      <c r="E20" s="320"/>
      <c r="F20" s="321"/>
      <c r="G20" s="322"/>
      <c r="H20" s="323"/>
      <c r="I20" s="337"/>
      <c r="J20" s="325"/>
      <c r="K20" s="326"/>
      <c r="L20" s="327"/>
      <c r="M20" s="328" t="str">
        <f t="shared" si="0"/>
        <v xml:space="preserve"> </v>
      </c>
      <c r="N20" s="329" t="str">
        <f t="shared" si="1"/>
        <v>-</v>
      </c>
      <c r="O20" s="318"/>
      <c r="P20" s="330"/>
      <c r="Q20" s="331"/>
      <c r="R20" s="332"/>
      <c r="S20" s="333"/>
      <c r="T20" s="334"/>
      <c r="U20" s="335" t="str">
        <f t="shared" si="2"/>
        <v xml:space="preserve"> </v>
      </c>
      <c r="V20" s="329" t="str">
        <f t="shared" si="3"/>
        <v>-</v>
      </c>
      <c r="W20" s="336"/>
      <c r="X20" s="332"/>
      <c r="Y20" s="333"/>
      <c r="Z20" s="334"/>
      <c r="AA20" s="335" t="str">
        <f t="shared" si="4"/>
        <v xml:space="preserve"> </v>
      </c>
      <c r="AB20" s="329" t="str">
        <f t="shared" si="5"/>
        <v>-</v>
      </c>
      <c r="AC20" s="335" t="str">
        <f t="shared" si="7"/>
        <v>-</v>
      </c>
      <c r="AD20" s="329" t="str">
        <f t="shared" si="6"/>
        <v>-</v>
      </c>
      <c r="AE20" s="336"/>
      <c r="AL20" s="81"/>
    </row>
    <row r="21" spans="2:38" s="4" customFormat="1" ht="16.5" x14ac:dyDescent="0.25">
      <c r="B21" s="317"/>
      <c r="C21" s="318"/>
      <c r="D21" s="338"/>
      <c r="E21" s="320"/>
      <c r="F21" s="321"/>
      <c r="G21" s="322"/>
      <c r="H21" s="323"/>
      <c r="I21" s="324"/>
      <c r="J21" s="325"/>
      <c r="K21" s="326"/>
      <c r="L21" s="327"/>
      <c r="M21" s="328" t="str">
        <f t="shared" si="0"/>
        <v xml:space="preserve"> </v>
      </c>
      <c r="N21" s="329" t="str">
        <f t="shared" si="1"/>
        <v>-</v>
      </c>
      <c r="O21" s="318"/>
      <c r="P21" s="330"/>
      <c r="Q21" s="331"/>
      <c r="R21" s="332"/>
      <c r="S21" s="333"/>
      <c r="T21" s="334"/>
      <c r="U21" s="335" t="str">
        <f t="shared" si="2"/>
        <v xml:space="preserve"> </v>
      </c>
      <c r="V21" s="329" t="str">
        <f t="shared" si="3"/>
        <v>-</v>
      </c>
      <c r="W21" s="340"/>
      <c r="X21" s="332"/>
      <c r="Y21" s="333"/>
      <c r="Z21" s="334"/>
      <c r="AA21" s="335" t="str">
        <f t="shared" si="4"/>
        <v xml:space="preserve"> </v>
      </c>
      <c r="AB21" s="329" t="str">
        <f t="shared" si="5"/>
        <v>-</v>
      </c>
      <c r="AC21" s="335" t="str">
        <f t="shared" si="7"/>
        <v>-</v>
      </c>
      <c r="AD21" s="329" t="str">
        <f t="shared" si="6"/>
        <v>-</v>
      </c>
      <c r="AE21" s="340"/>
      <c r="AL21" s="81"/>
    </row>
    <row r="22" spans="2:38" s="4" customFormat="1" ht="16.5" x14ac:dyDescent="0.25">
      <c r="B22" s="317"/>
      <c r="C22" s="318"/>
      <c r="D22" s="338"/>
      <c r="E22" s="320"/>
      <c r="F22" s="321"/>
      <c r="G22" s="322"/>
      <c r="H22" s="323"/>
      <c r="I22" s="337"/>
      <c r="J22" s="325"/>
      <c r="K22" s="326"/>
      <c r="L22" s="327"/>
      <c r="M22" s="328" t="str">
        <f t="shared" si="0"/>
        <v xml:space="preserve"> </v>
      </c>
      <c r="N22" s="329" t="str">
        <f t="shared" si="1"/>
        <v>-</v>
      </c>
      <c r="O22" s="318"/>
      <c r="P22" s="330"/>
      <c r="Q22" s="331"/>
      <c r="R22" s="332"/>
      <c r="S22" s="333"/>
      <c r="T22" s="334"/>
      <c r="U22" s="335" t="str">
        <f t="shared" si="2"/>
        <v xml:space="preserve"> </v>
      </c>
      <c r="V22" s="329" t="str">
        <f t="shared" si="3"/>
        <v>-</v>
      </c>
      <c r="W22" s="336"/>
      <c r="X22" s="332"/>
      <c r="Y22" s="333"/>
      <c r="Z22" s="334"/>
      <c r="AA22" s="335" t="str">
        <f t="shared" si="4"/>
        <v xml:space="preserve"> </v>
      </c>
      <c r="AB22" s="329" t="str">
        <f t="shared" si="5"/>
        <v>-</v>
      </c>
      <c r="AC22" s="335" t="str">
        <f t="shared" si="7"/>
        <v>-</v>
      </c>
      <c r="AD22" s="329" t="str">
        <f t="shared" si="6"/>
        <v>-</v>
      </c>
      <c r="AE22" s="336"/>
      <c r="AL22" s="81"/>
    </row>
    <row r="23" spans="2:38" s="4" customFormat="1" ht="16.5" x14ac:dyDescent="0.25">
      <c r="B23" s="317"/>
      <c r="C23" s="318"/>
      <c r="D23" s="338"/>
      <c r="E23" s="320"/>
      <c r="F23" s="321"/>
      <c r="G23" s="322"/>
      <c r="H23" s="323"/>
      <c r="I23" s="337"/>
      <c r="J23" s="325"/>
      <c r="K23" s="326"/>
      <c r="L23" s="327"/>
      <c r="M23" s="328" t="str">
        <f t="shared" si="0"/>
        <v xml:space="preserve"> </v>
      </c>
      <c r="N23" s="329" t="str">
        <f t="shared" si="1"/>
        <v>-</v>
      </c>
      <c r="O23" s="318"/>
      <c r="P23" s="330"/>
      <c r="Q23" s="331"/>
      <c r="R23" s="332"/>
      <c r="S23" s="333"/>
      <c r="T23" s="334"/>
      <c r="U23" s="335" t="str">
        <f t="shared" si="2"/>
        <v xml:space="preserve"> </v>
      </c>
      <c r="V23" s="329" t="str">
        <f t="shared" si="3"/>
        <v>-</v>
      </c>
      <c r="W23" s="336"/>
      <c r="X23" s="332"/>
      <c r="Y23" s="333"/>
      <c r="Z23" s="334"/>
      <c r="AA23" s="335" t="str">
        <f t="shared" si="4"/>
        <v xml:space="preserve"> </v>
      </c>
      <c r="AB23" s="329" t="str">
        <f t="shared" si="5"/>
        <v>-</v>
      </c>
      <c r="AC23" s="335" t="str">
        <f t="shared" si="7"/>
        <v>-</v>
      </c>
      <c r="AD23" s="329" t="str">
        <f t="shared" si="6"/>
        <v>-</v>
      </c>
      <c r="AE23" s="336"/>
      <c r="AL23" s="81"/>
    </row>
    <row r="24" spans="2:38" s="4" customFormat="1" ht="16.5" x14ac:dyDescent="0.25">
      <c r="B24" s="317"/>
      <c r="C24" s="318"/>
      <c r="D24" s="338"/>
      <c r="E24" s="320"/>
      <c r="F24" s="321"/>
      <c r="G24" s="341"/>
      <c r="H24" s="323"/>
      <c r="I24" s="324"/>
      <c r="J24" s="325"/>
      <c r="K24" s="326"/>
      <c r="L24" s="327"/>
      <c r="M24" s="328" t="str">
        <f t="shared" si="0"/>
        <v xml:space="preserve"> </v>
      </c>
      <c r="N24" s="329" t="str">
        <f t="shared" si="1"/>
        <v>-</v>
      </c>
      <c r="O24" s="318"/>
      <c r="P24" s="330"/>
      <c r="Q24" s="331"/>
      <c r="R24" s="332"/>
      <c r="S24" s="333"/>
      <c r="T24" s="334"/>
      <c r="U24" s="335" t="str">
        <f t="shared" si="2"/>
        <v xml:space="preserve"> </v>
      </c>
      <c r="V24" s="329" t="str">
        <f t="shared" si="3"/>
        <v>-</v>
      </c>
      <c r="W24" s="336"/>
      <c r="X24" s="332"/>
      <c r="Y24" s="333"/>
      <c r="Z24" s="334"/>
      <c r="AA24" s="335" t="str">
        <f t="shared" si="4"/>
        <v xml:space="preserve"> </v>
      </c>
      <c r="AB24" s="329" t="str">
        <f t="shared" si="5"/>
        <v>-</v>
      </c>
      <c r="AC24" s="335" t="str">
        <f t="shared" si="7"/>
        <v>-</v>
      </c>
      <c r="AD24" s="329" t="str">
        <f t="shared" si="6"/>
        <v>-</v>
      </c>
      <c r="AE24" s="336"/>
      <c r="AL24" s="81"/>
    </row>
    <row r="25" spans="2:38" s="4" customFormat="1" ht="16.5" x14ac:dyDescent="0.25">
      <c r="B25" s="317"/>
      <c r="C25" s="318"/>
      <c r="D25" s="338"/>
      <c r="E25" s="320"/>
      <c r="F25" s="321"/>
      <c r="G25" s="322"/>
      <c r="H25" s="323"/>
      <c r="I25" s="324"/>
      <c r="J25" s="325"/>
      <c r="K25" s="326"/>
      <c r="L25" s="327"/>
      <c r="M25" s="328" t="str">
        <f t="shared" si="0"/>
        <v xml:space="preserve"> </v>
      </c>
      <c r="N25" s="329" t="str">
        <f t="shared" si="1"/>
        <v>-</v>
      </c>
      <c r="O25" s="318"/>
      <c r="P25" s="330"/>
      <c r="Q25" s="331"/>
      <c r="R25" s="332"/>
      <c r="S25" s="333"/>
      <c r="T25" s="334"/>
      <c r="U25" s="335" t="str">
        <f t="shared" si="2"/>
        <v xml:space="preserve"> </v>
      </c>
      <c r="V25" s="329" t="str">
        <f t="shared" si="3"/>
        <v>-</v>
      </c>
      <c r="W25" s="340"/>
      <c r="X25" s="332"/>
      <c r="Y25" s="333"/>
      <c r="Z25" s="334"/>
      <c r="AA25" s="335" t="str">
        <f t="shared" si="4"/>
        <v xml:space="preserve"> </v>
      </c>
      <c r="AB25" s="329" t="str">
        <f t="shared" si="5"/>
        <v>-</v>
      </c>
      <c r="AC25" s="335" t="str">
        <f t="shared" si="7"/>
        <v>-</v>
      </c>
      <c r="AD25" s="329" t="str">
        <f t="shared" si="6"/>
        <v>-</v>
      </c>
      <c r="AE25" s="340"/>
      <c r="AL25" s="81"/>
    </row>
    <row r="26" spans="2:38" s="4" customFormat="1" ht="16.5" x14ac:dyDescent="0.25">
      <c r="B26" s="317"/>
      <c r="C26" s="318"/>
      <c r="D26" s="338"/>
      <c r="E26" s="320"/>
      <c r="F26" s="321"/>
      <c r="G26" s="322"/>
      <c r="H26" s="323"/>
      <c r="I26" s="324"/>
      <c r="J26" s="325"/>
      <c r="K26" s="326"/>
      <c r="L26" s="327"/>
      <c r="M26" s="328" t="str">
        <f t="shared" si="0"/>
        <v xml:space="preserve"> </v>
      </c>
      <c r="N26" s="329" t="str">
        <f t="shared" si="1"/>
        <v>-</v>
      </c>
      <c r="O26" s="318"/>
      <c r="P26" s="330"/>
      <c r="Q26" s="331"/>
      <c r="R26" s="332"/>
      <c r="S26" s="333"/>
      <c r="T26" s="334"/>
      <c r="U26" s="335" t="str">
        <f t="shared" si="2"/>
        <v xml:space="preserve"> </v>
      </c>
      <c r="V26" s="329" t="str">
        <f t="shared" si="3"/>
        <v>-</v>
      </c>
      <c r="W26" s="340"/>
      <c r="X26" s="332"/>
      <c r="Y26" s="333"/>
      <c r="Z26" s="334"/>
      <c r="AA26" s="335" t="str">
        <f t="shared" si="4"/>
        <v xml:space="preserve"> </v>
      </c>
      <c r="AB26" s="329" t="str">
        <f t="shared" si="5"/>
        <v>-</v>
      </c>
      <c r="AC26" s="335" t="str">
        <f t="shared" si="7"/>
        <v>-</v>
      </c>
      <c r="AD26" s="329" t="str">
        <f t="shared" si="6"/>
        <v>-</v>
      </c>
      <c r="AE26" s="340"/>
      <c r="AL26" s="81"/>
    </row>
    <row r="27" spans="2:38" s="4" customFormat="1" ht="16.5" x14ac:dyDescent="0.25">
      <c r="B27" s="317"/>
      <c r="C27" s="318"/>
      <c r="D27" s="338"/>
      <c r="E27" s="320"/>
      <c r="F27" s="321"/>
      <c r="G27" s="322"/>
      <c r="H27" s="323"/>
      <c r="I27" s="324"/>
      <c r="J27" s="325"/>
      <c r="K27" s="326"/>
      <c r="L27" s="327"/>
      <c r="M27" s="328" t="str">
        <f t="shared" si="0"/>
        <v xml:space="preserve"> </v>
      </c>
      <c r="N27" s="329" t="str">
        <f t="shared" si="1"/>
        <v>-</v>
      </c>
      <c r="O27" s="318"/>
      <c r="P27" s="330"/>
      <c r="Q27" s="331"/>
      <c r="R27" s="332"/>
      <c r="S27" s="333"/>
      <c r="T27" s="334"/>
      <c r="U27" s="335" t="str">
        <f t="shared" si="2"/>
        <v xml:space="preserve"> </v>
      </c>
      <c r="V27" s="329" t="str">
        <f t="shared" si="3"/>
        <v>-</v>
      </c>
      <c r="W27" s="340"/>
      <c r="X27" s="332"/>
      <c r="Y27" s="333"/>
      <c r="Z27" s="334"/>
      <c r="AA27" s="335" t="str">
        <f t="shared" si="4"/>
        <v xml:space="preserve"> </v>
      </c>
      <c r="AB27" s="329" t="str">
        <f t="shared" si="5"/>
        <v>-</v>
      </c>
      <c r="AC27" s="335" t="str">
        <f t="shared" si="7"/>
        <v>-</v>
      </c>
      <c r="AD27" s="329" t="str">
        <f t="shared" si="6"/>
        <v>-</v>
      </c>
      <c r="AE27" s="340"/>
      <c r="AL27" s="81"/>
    </row>
    <row r="28" spans="2:38" s="4" customFormat="1" ht="16.5" x14ac:dyDescent="0.25">
      <c r="B28" s="317"/>
      <c r="C28" s="318"/>
      <c r="D28" s="338"/>
      <c r="E28" s="320"/>
      <c r="F28" s="321"/>
      <c r="G28" s="322"/>
      <c r="H28" s="323"/>
      <c r="I28" s="324"/>
      <c r="J28" s="325"/>
      <c r="K28" s="326"/>
      <c r="L28" s="327"/>
      <c r="M28" s="328" t="str">
        <f t="shared" si="0"/>
        <v xml:space="preserve"> </v>
      </c>
      <c r="N28" s="329" t="str">
        <f t="shared" si="1"/>
        <v>-</v>
      </c>
      <c r="O28" s="318"/>
      <c r="P28" s="330"/>
      <c r="Q28" s="331"/>
      <c r="R28" s="332"/>
      <c r="S28" s="333"/>
      <c r="T28" s="334"/>
      <c r="U28" s="335" t="str">
        <f t="shared" si="2"/>
        <v xml:space="preserve"> </v>
      </c>
      <c r="V28" s="329" t="str">
        <f t="shared" si="3"/>
        <v>-</v>
      </c>
      <c r="W28" s="340"/>
      <c r="X28" s="332"/>
      <c r="Y28" s="333"/>
      <c r="Z28" s="334"/>
      <c r="AA28" s="335" t="str">
        <f t="shared" si="4"/>
        <v xml:space="preserve"> </v>
      </c>
      <c r="AB28" s="329" t="str">
        <f t="shared" si="5"/>
        <v>-</v>
      </c>
      <c r="AC28" s="335" t="str">
        <f t="shared" si="7"/>
        <v>-</v>
      </c>
      <c r="AD28" s="329" t="str">
        <f t="shared" si="6"/>
        <v>-</v>
      </c>
      <c r="AE28" s="340"/>
      <c r="AL28" s="81"/>
    </row>
    <row r="29" spans="2:38" s="4" customFormat="1" ht="16.5" x14ac:dyDescent="0.25">
      <c r="B29" s="317"/>
      <c r="C29" s="318"/>
      <c r="D29" s="338"/>
      <c r="E29" s="320"/>
      <c r="F29" s="321"/>
      <c r="G29" s="322"/>
      <c r="H29" s="323"/>
      <c r="I29" s="337"/>
      <c r="J29" s="325"/>
      <c r="K29" s="326"/>
      <c r="L29" s="327"/>
      <c r="M29" s="328" t="str">
        <f t="shared" si="0"/>
        <v xml:space="preserve"> </v>
      </c>
      <c r="N29" s="329" t="str">
        <f t="shared" si="1"/>
        <v>-</v>
      </c>
      <c r="O29" s="318"/>
      <c r="P29" s="330"/>
      <c r="Q29" s="331"/>
      <c r="R29" s="332"/>
      <c r="S29" s="333"/>
      <c r="T29" s="334"/>
      <c r="U29" s="335" t="str">
        <f t="shared" si="2"/>
        <v xml:space="preserve"> </v>
      </c>
      <c r="V29" s="329" t="str">
        <f t="shared" si="3"/>
        <v>-</v>
      </c>
      <c r="W29" s="340"/>
      <c r="X29" s="332"/>
      <c r="Y29" s="333"/>
      <c r="Z29" s="334"/>
      <c r="AA29" s="335" t="str">
        <f t="shared" si="4"/>
        <v xml:space="preserve"> </v>
      </c>
      <c r="AB29" s="329" t="str">
        <f t="shared" si="5"/>
        <v>-</v>
      </c>
      <c r="AC29" s="335" t="str">
        <f t="shared" si="7"/>
        <v>-</v>
      </c>
      <c r="AD29" s="329" t="str">
        <f t="shared" si="6"/>
        <v>-</v>
      </c>
      <c r="AE29" s="340"/>
      <c r="AL29" s="81"/>
    </row>
    <row r="30" spans="2:38" s="4" customFormat="1" ht="16.5" x14ac:dyDescent="0.25">
      <c r="B30" s="317"/>
      <c r="C30" s="318"/>
      <c r="D30" s="338"/>
      <c r="E30" s="320"/>
      <c r="F30" s="321"/>
      <c r="G30" s="322"/>
      <c r="H30" s="323"/>
      <c r="I30" s="337"/>
      <c r="J30" s="325"/>
      <c r="K30" s="326"/>
      <c r="L30" s="327"/>
      <c r="M30" s="328" t="str">
        <f t="shared" si="0"/>
        <v xml:space="preserve"> </v>
      </c>
      <c r="N30" s="329" t="str">
        <f t="shared" si="1"/>
        <v>-</v>
      </c>
      <c r="O30" s="318"/>
      <c r="P30" s="330"/>
      <c r="Q30" s="331"/>
      <c r="R30" s="332"/>
      <c r="S30" s="333"/>
      <c r="T30" s="334"/>
      <c r="U30" s="335" t="str">
        <f t="shared" si="2"/>
        <v xml:space="preserve"> </v>
      </c>
      <c r="V30" s="329" t="str">
        <f t="shared" si="3"/>
        <v>-</v>
      </c>
      <c r="W30" s="340"/>
      <c r="X30" s="332"/>
      <c r="Y30" s="333"/>
      <c r="Z30" s="334"/>
      <c r="AA30" s="335" t="str">
        <f t="shared" si="4"/>
        <v xml:space="preserve"> </v>
      </c>
      <c r="AB30" s="329" t="str">
        <f t="shared" si="5"/>
        <v>-</v>
      </c>
      <c r="AC30" s="335" t="str">
        <f t="shared" si="7"/>
        <v>-</v>
      </c>
      <c r="AD30" s="329" t="str">
        <f t="shared" si="6"/>
        <v>-</v>
      </c>
      <c r="AE30" s="340"/>
      <c r="AL30" s="81"/>
    </row>
    <row r="31" spans="2:38" s="4" customFormat="1" ht="16.5" x14ac:dyDescent="0.25">
      <c r="B31" s="317"/>
      <c r="C31" s="318"/>
      <c r="D31" s="342"/>
      <c r="E31" s="320"/>
      <c r="F31" s="321"/>
      <c r="G31" s="322"/>
      <c r="H31" s="323"/>
      <c r="I31" s="337"/>
      <c r="J31" s="325"/>
      <c r="K31" s="326"/>
      <c r="L31" s="327"/>
      <c r="M31" s="328" t="str">
        <f t="shared" si="0"/>
        <v xml:space="preserve"> </v>
      </c>
      <c r="N31" s="329" t="str">
        <f t="shared" si="1"/>
        <v>-</v>
      </c>
      <c r="O31" s="318"/>
      <c r="P31" s="330"/>
      <c r="Q31" s="331"/>
      <c r="R31" s="332"/>
      <c r="S31" s="333"/>
      <c r="T31" s="334"/>
      <c r="U31" s="335" t="str">
        <f t="shared" si="2"/>
        <v xml:space="preserve"> </v>
      </c>
      <c r="V31" s="329" t="str">
        <f t="shared" si="3"/>
        <v>-</v>
      </c>
      <c r="W31" s="340"/>
      <c r="X31" s="332"/>
      <c r="Y31" s="333"/>
      <c r="Z31" s="334"/>
      <c r="AA31" s="335" t="str">
        <f t="shared" si="4"/>
        <v xml:space="preserve"> </v>
      </c>
      <c r="AB31" s="329" t="str">
        <f t="shared" si="5"/>
        <v>-</v>
      </c>
      <c r="AC31" s="335" t="str">
        <f t="shared" si="7"/>
        <v>-</v>
      </c>
      <c r="AD31" s="329" t="str">
        <f t="shared" si="6"/>
        <v>-</v>
      </c>
      <c r="AE31" s="340"/>
      <c r="AL31" s="81"/>
    </row>
    <row r="32" spans="2:38" s="4" customFormat="1" ht="16.5" x14ac:dyDescent="0.25">
      <c r="B32" s="317"/>
      <c r="C32" s="318"/>
      <c r="D32" s="342"/>
      <c r="E32" s="320"/>
      <c r="F32" s="321"/>
      <c r="G32" s="322"/>
      <c r="H32" s="323"/>
      <c r="I32" s="337"/>
      <c r="J32" s="325"/>
      <c r="K32" s="326"/>
      <c r="L32" s="327"/>
      <c r="M32" s="328" t="str">
        <f t="shared" si="0"/>
        <v xml:space="preserve"> </v>
      </c>
      <c r="N32" s="329" t="str">
        <f t="shared" si="1"/>
        <v>-</v>
      </c>
      <c r="O32" s="318"/>
      <c r="P32" s="330"/>
      <c r="Q32" s="331"/>
      <c r="R32" s="332"/>
      <c r="S32" s="333"/>
      <c r="T32" s="334"/>
      <c r="U32" s="335" t="str">
        <f t="shared" si="2"/>
        <v xml:space="preserve"> </v>
      </c>
      <c r="V32" s="329" t="str">
        <f t="shared" si="3"/>
        <v>-</v>
      </c>
      <c r="W32" s="340"/>
      <c r="X32" s="332"/>
      <c r="Y32" s="333"/>
      <c r="Z32" s="334"/>
      <c r="AA32" s="335" t="str">
        <f t="shared" si="4"/>
        <v xml:space="preserve"> </v>
      </c>
      <c r="AB32" s="329" t="str">
        <f t="shared" si="5"/>
        <v>-</v>
      </c>
      <c r="AC32" s="335" t="str">
        <f t="shared" si="7"/>
        <v>-</v>
      </c>
      <c r="AD32" s="329" t="str">
        <f t="shared" si="6"/>
        <v>-</v>
      </c>
      <c r="AE32" s="340"/>
      <c r="AL32" s="81"/>
    </row>
    <row r="33" spans="2:38" s="4" customFormat="1" ht="16.5" x14ac:dyDescent="0.25">
      <c r="B33" s="317"/>
      <c r="C33" s="318"/>
      <c r="D33" s="342"/>
      <c r="E33" s="320"/>
      <c r="F33" s="321"/>
      <c r="G33" s="322"/>
      <c r="H33" s="323"/>
      <c r="I33" s="337"/>
      <c r="J33" s="325"/>
      <c r="K33" s="326"/>
      <c r="L33" s="327"/>
      <c r="M33" s="328" t="str">
        <f t="shared" si="0"/>
        <v xml:space="preserve"> </v>
      </c>
      <c r="N33" s="329" t="str">
        <f t="shared" si="1"/>
        <v>-</v>
      </c>
      <c r="O33" s="318"/>
      <c r="P33" s="330"/>
      <c r="Q33" s="331"/>
      <c r="R33" s="332"/>
      <c r="S33" s="333"/>
      <c r="T33" s="334"/>
      <c r="U33" s="335" t="str">
        <f t="shared" si="2"/>
        <v xml:space="preserve"> </v>
      </c>
      <c r="V33" s="329" t="str">
        <f t="shared" si="3"/>
        <v>-</v>
      </c>
      <c r="W33" s="340"/>
      <c r="X33" s="332"/>
      <c r="Y33" s="333"/>
      <c r="Z33" s="334"/>
      <c r="AA33" s="335" t="str">
        <f t="shared" si="4"/>
        <v xml:space="preserve"> </v>
      </c>
      <c r="AB33" s="329" t="str">
        <f t="shared" si="5"/>
        <v>-</v>
      </c>
      <c r="AC33" s="335" t="str">
        <f t="shared" si="7"/>
        <v>-</v>
      </c>
      <c r="AD33" s="329" t="str">
        <f t="shared" si="6"/>
        <v>-</v>
      </c>
      <c r="AE33" s="340"/>
      <c r="AL33" s="81"/>
    </row>
    <row r="34" spans="2:38" s="4" customFormat="1" ht="16.5" x14ac:dyDescent="0.25">
      <c r="B34" s="317"/>
      <c r="C34" s="318"/>
      <c r="D34" s="343"/>
      <c r="E34" s="344"/>
      <c r="F34" s="321"/>
      <c r="G34" s="322"/>
      <c r="H34" s="323"/>
      <c r="I34" s="324"/>
      <c r="J34" s="325"/>
      <c r="K34" s="326"/>
      <c r="L34" s="327"/>
      <c r="M34" s="328" t="str">
        <f t="shared" si="0"/>
        <v xml:space="preserve"> </v>
      </c>
      <c r="N34" s="329" t="str">
        <f t="shared" si="1"/>
        <v>-</v>
      </c>
      <c r="O34" s="318"/>
      <c r="P34" s="330"/>
      <c r="Q34" s="331"/>
      <c r="R34" s="332"/>
      <c r="S34" s="333"/>
      <c r="T34" s="334"/>
      <c r="U34" s="335" t="str">
        <f t="shared" si="2"/>
        <v xml:space="preserve"> </v>
      </c>
      <c r="V34" s="329" t="str">
        <f t="shared" si="3"/>
        <v>-</v>
      </c>
      <c r="W34" s="340"/>
      <c r="X34" s="332"/>
      <c r="Y34" s="333"/>
      <c r="Z34" s="334"/>
      <c r="AA34" s="335" t="str">
        <f t="shared" si="4"/>
        <v xml:space="preserve"> </v>
      </c>
      <c r="AB34" s="329" t="str">
        <f t="shared" si="5"/>
        <v>-</v>
      </c>
      <c r="AC34" s="335" t="str">
        <f t="shared" si="7"/>
        <v>-</v>
      </c>
      <c r="AD34" s="329" t="str">
        <f t="shared" si="6"/>
        <v>-</v>
      </c>
      <c r="AE34" s="340"/>
      <c r="AL34" s="81"/>
    </row>
    <row r="35" spans="2:38" s="4" customFormat="1" ht="16.5" x14ac:dyDescent="0.25">
      <c r="B35" s="317"/>
      <c r="C35" s="318"/>
      <c r="D35" s="343"/>
      <c r="E35" s="344"/>
      <c r="F35" s="321"/>
      <c r="G35" s="322"/>
      <c r="H35" s="323"/>
      <c r="I35" s="324"/>
      <c r="J35" s="325"/>
      <c r="K35" s="326"/>
      <c r="L35" s="327"/>
      <c r="M35" s="328" t="str">
        <f t="shared" si="0"/>
        <v xml:space="preserve"> </v>
      </c>
      <c r="N35" s="329" t="str">
        <f t="shared" si="1"/>
        <v>-</v>
      </c>
      <c r="O35" s="318"/>
      <c r="P35" s="330"/>
      <c r="Q35" s="331"/>
      <c r="R35" s="332"/>
      <c r="S35" s="333"/>
      <c r="T35" s="334"/>
      <c r="U35" s="335" t="str">
        <f t="shared" si="2"/>
        <v xml:space="preserve"> </v>
      </c>
      <c r="V35" s="329" t="str">
        <f t="shared" si="3"/>
        <v>-</v>
      </c>
      <c r="W35" s="340"/>
      <c r="X35" s="332"/>
      <c r="Y35" s="333"/>
      <c r="Z35" s="334"/>
      <c r="AA35" s="335" t="str">
        <f t="shared" si="4"/>
        <v xml:space="preserve"> </v>
      </c>
      <c r="AB35" s="329" t="str">
        <f t="shared" si="5"/>
        <v>-</v>
      </c>
      <c r="AC35" s="335" t="str">
        <f t="shared" si="7"/>
        <v>-</v>
      </c>
      <c r="AD35" s="329" t="str">
        <f t="shared" si="6"/>
        <v>-</v>
      </c>
      <c r="AE35" s="340"/>
      <c r="AL35" s="81"/>
    </row>
    <row r="36" spans="2:38" s="4" customFormat="1" ht="16.5" x14ac:dyDescent="0.25">
      <c r="B36" s="317"/>
      <c r="C36" s="318"/>
      <c r="D36" s="343"/>
      <c r="E36" s="345"/>
      <c r="F36" s="321"/>
      <c r="G36" s="322"/>
      <c r="H36" s="323"/>
      <c r="I36" s="337"/>
      <c r="J36" s="325"/>
      <c r="K36" s="326"/>
      <c r="L36" s="327"/>
      <c r="M36" s="328" t="str">
        <f>IF(H36+J36=0," ",H36*J36)</f>
        <v xml:space="preserve"> </v>
      </c>
      <c r="N36" s="329" t="str">
        <f t="shared" si="1"/>
        <v>-</v>
      </c>
      <c r="O36" s="318"/>
      <c r="P36" s="330"/>
      <c r="Q36" s="331"/>
      <c r="R36" s="332"/>
      <c r="S36" s="333"/>
      <c r="T36" s="334"/>
      <c r="U36" s="335" t="str">
        <f t="shared" si="2"/>
        <v xml:space="preserve"> </v>
      </c>
      <c r="V36" s="329" t="str">
        <f t="shared" si="3"/>
        <v>-</v>
      </c>
      <c r="W36" s="340"/>
      <c r="X36" s="332"/>
      <c r="Y36" s="333"/>
      <c r="Z36" s="334"/>
      <c r="AA36" s="335" t="str">
        <f t="shared" si="4"/>
        <v xml:space="preserve"> </v>
      </c>
      <c r="AB36" s="329" t="str">
        <f t="shared" si="5"/>
        <v>-</v>
      </c>
      <c r="AC36" s="335" t="str">
        <f t="shared" si="7"/>
        <v>-</v>
      </c>
      <c r="AD36" s="329" t="str">
        <f t="shared" si="6"/>
        <v>-</v>
      </c>
      <c r="AE36" s="340"/>
      <c r="AL36" s="81"/>
    </row>
    <row r="37" spans="2:38" s="4" customFormat="1" ht="16.5" x14ac:dyDescent="0.25">
      <c r="B37" s="317"/>
      <c r="C37" s="318"/>
      <c r="D37" s="343"/>
      <c r="E37" s="345"/>
      <c r="F37" s="321"/>
      <c r="G37" s="322"/>
      <c r="H37" s="323"/>
      <c r="I37" s="337"/>
      <c r="J37" s="325"/>
      <c r="K37" s="326"/>
      <c r="L37" s="327"/>
      <c r="M37" s="328" t="str">
        <f>IF(H37+J37=0," ",H37*J37)</f>
        <v xml:space="preserve"> </v>
      </c>
      <c r="N37" s="329" t="str">
        <f t="shared" si="1"/>
        <v>-</v>
      </c>
      <c r="O37" s="318"/>
      <c r="P37" s="330"/>
      <c r="Q37" s="331"/>
      <c r="R37" s="332"/>
      <c r="S37" s="333"/>
      <c r="T37" s="334"/>
      <c r="U37" s="335" t="str">
        <f t="shared" si="2"/>
        <v xml:space="preserve"> </v>
      </c>
      <c r="V37" s="329" t="str">
        <f t="shared" si="3"/>
        <v>-</v>
      </c>
      <c r="W37" s="340"/>
      <c r="X37" s="332"/>
      <c r="Y37" s="333"/>
      <c r="Z37" s="334"/>
      <c r="AA37" s="335" t="str">
        <f t="shared" si="4"/>
        <v xml:space="preserve"> </v>
      </c>
      <c r="AB37" s="329" t="str">
        <f t="shared" si="5"/>
        <v>-</v>
      </c>
      <c r="AC37" s="335" t="str">
        <f t="shared" si="7"/>
        <v>-</v>
      </c>
      <c r="AD37" s="329" t="str">
        <f t="shared" si="6"/>
        <v>-</v>
      </c>
      <c r="AE37" s="340"/>
      <c r="AL37" s="81"/>
    </row>
    <row r="38" spans="2:38" s="4" customFormat="1" ht="17.25" thickBot="1" x14ac:dyDescent="0.3">
      <c r="B38" s="346"/>
      <c r="C38" s="347"/>
      <c r="D38" s="348"/>
      <c r="E38" s="349"/>
      <c r="F38" s="350"/>
      <c r="G38" s="351"/>
      <c r="H38" s="352"/>
      <c r="I38" s="353"/>
      <c r="J38" s="354"/>
      <c r="K38" s="355"/>
      <c r="L38" s="356"/>
      <c r="M38" s="357" t="str">
        <f>IF(H38+J38=0," ",H38*J38)</f>
        <v xml:space="preserve"> </v>
      </c>
      <c r="N38" s="358" t="str">
        <f t="shared" si="1"/>
        <v>-</v>
      </c>
      <c r="O38" s="347"/>
      <c r="P38" s="359"/>
      <c r="Q38" s="360"/>
      <c r="R38" s="361"/>
      <c r="S38" s="362"/>
      <c r="T38" s="356"/>
      <c r="U38" s="363" t="str">
        <f t="shared" si="2"/>
        <v xml:space="preserve"> </v>
      </c>
      <c r="V38" s="358" t="str">
        <f t="shared" si="3"/>
        <v>-</v>
      </c>
      <c r="W38" s="364"/>
      <c r="X38" s="361"/>
      <c r="Y38" s="362"/>
      <c r="Z38" s="356"/>
      <c r="AA38" s="363" t="str">
        <f t="shared" si="4"/>
        <v xml:space="preserve"> </v>
      </c>
      <c r="AB38" s="358" t="str">
        <f t="shared" si="5"/>
        <v>-</v>
      </c>
      <c r="AC38" s="363" t="str">
        <f t="shared" si="7"/>
        <v>-</v>
      </c>
      <c r="AD38" s="358" t="str">
        <f t="shared" si="6"/>
        <v>-</v>
      </c>
      <c r="AE38" s="364"/>
      <c r="AL38" s="81"/>
    </row>
    <row r="39" spans="2:38" ht="35.1" customHeight="1" x14ac:dyDescent="0.2">
      <c r="AL39" s="81"/>
    </row>
    <row r="40" spans="2:38" ht="35.1" customHeight="1" x14ac:dyDescent="0.2">
      <c r="AL40" s="81"/>
    </row>
    <row r="41" spans="2:38" ht="35.1" customHeight="1" x14ac:dyDescent="0.2">
      <c r="AL41" s="81"/>
    </row>
    <row r="42" spans="2:38" ht="35.1" customHeight="1" x14ac:dyDescent="0.2">
      <c r="AL42" s="81"/>
    </row>
    <row r="43" spans="2:38" ht="41.25" customHeight="1" x14ac:dyDescent="0.2">
      <c r="AL43" s="81"/>
    </row>
    <row r="44" spans="2:38" ht="40.5" customHeight="1" x14ac:dyDescent="0.2">
      <c r="AL44" s="81"/>
    </row>
    <row r="45" spans="2:38" ht="35.1" customHeight="1" x14ac:dyDescent="0.2">
      <c r="AL45" s="81"/>
    </row>
    <row r="46" spans="2:38" ht="17.25" customHeight="1" x14ac:dyDescent="0.2"/>
    <row r="47" spans="2:38" ht="35.1" customHeight="1" x14ac:dyDescent="0.2"/>
    <row r="48" spans="2:38" ht="12.75" customHeight="1" x14ac:dyDescent="0.2"/>
    <row r="49" ht="35.1" customHeight="1" x14ac:dyDescent="0.2"/>
    <row r="50" ht="35.1" customHeight="1" x14ac:dyDescent="0.2"/>
    <row r="51" ht="35.1" customHeight="1" x14ac:dyDescent="0.2"/>
    <row r="52" ht="35.1" customHeight="1" x14ac:dyDescent="0.2"/>
  </sheetData>
  <mergeCells count="37">
    <mergeCell ref="Z1:AA1"/>
    <mergeCell ref="AB1:AD1"/>
    <mergeCell ref="Z2:AA2"/>
    <mergeCell ref="AB2:AD2"/>
    <mergeCell ref="Z4:AA4"/>
    <mergeCell ref="AB4:AD4"/>
    <mergeCell ref="AB5:AD5"/>
    <mergeCell ref="AC7:AD7"/>
    <mergeCell ref="B9:B10"/>
    <mergeCell ref="C9:C10"/>
    <mergeCell ref="D9:D10"/>
    <mergeCell ref="E9:E10"/>
    <mergeCell ref="F9:F10"/>
    <mergeCell ref="G9:G10"/>
    <mergeCell ref="I9:I10"/>
    <mergeCell ref="M9:M10"/>
    <mergeCell ref="N9:N10"/>
    <mergeCell ref="O9:O10"/>
    <mergeCell ref="P9:P10"/>
    <mergeCell ref="Q9:Q10"/>
    <mergeCell ref="AD9:AD10"/>
    <mergeCell ref="AE9:AE10"/>
    <mergeCell ref="B4:B5"/>
    <mergeCell ref="X9:X10"/>
    <mergeCell ref="Y9:Y10"/>
    <mergeCell ref="Z9:Z10"/>
    <mergeCell ref="AA9:AA10"/>
    <mergeCell ref="AB9:AB10"/>
    <mergeCell ref="AC9:AC10"/>
    <mergeCell ref="R9:R10"/>
    <mergeCell ref="S9:S10"/>
    <mergeCell ref="T9:T10"/>
    <mergeCell ref="U9:U10"/>
    <mergeCell ref="V9:V10"/>
    <mergeCell ref="W9:W10"/>
    <mergeCell ref="K9:K10"/>
    <mergeCell ref="Z5:AA5"/>
  </mergeCells>
  <phoneticPr fontId="73" type="noConversion"/>
  <conditionalFormatting sqref="N11:N38">
    <cfRule type="expression" dxfId="45" priority="15" stopIfTrue="1">
      <formula>$V11="-"</formula>
    </cfRule>
    <cfRule type="expression" dxfId="44" priority="16" stopIfTrue="1">
      <formula>$N11&gt;749</formula>
    </cfRule>
    <cfRule type="expression" dxfId="43" priority="17" stopIfTrue="1">
      <formula>$N11&gt;499</formula>
    </cfRule>
    <cfRule type="expression" dxfId="42" priority="18" stopIfTrue="1">
      <formula>$N11&gt;249</formula>
    </cfRule>
    <cfRule type="cellIs" dxfId="41" priority="19" stopIfTrue="1" operator="equal">
      <formula>"-"</formula>
    </cfRule>
    <cfRule type="expression" dxfId="40" priority="20" stopIfTrue="1">
      <formula>$N11&gt;$AE$4</formula>
    </cfRule>
    <cfRule type="expression" dxfId="39" priority="21" stopIfTrue="1">
      <formula>$N11&gt;$AE$2</formula>
    </cfRule>
    <cfRule type="expression" dxfId="38" priority="22" stopIfTrue="1">
      <formula>$N11&gt;$AE$1</formula>
    </cfRule>
    <cfRule type="expression" dxfId="37" priority="23" stopIfTrue="1">
      <formula>$N11&gt;0</formula>
    </cfRule>
  </conditionalFormatting>
  <conditionalFormatting sqref="V11:V38">
    <cfRule type="cellIs" dxfId="36" priority="1" stopIfTrue="1" operator="equal">
      <formula>"-"</formula>
    </cfRule>
    <cfRule type="expression" dxfId="35" priority="2" stopIfTrue="1">
      <formula>$V11&gt;749</formula>
    </cfRule>
    <cfRule type="expression" dxfId="34" priority="3" stopIfTrue="1">
      <formula>$V11&gt;499</formula>
    </cfRule>
    <cfRule type="expression" dxfId="33" priority="4" stopIfTrue="1">
      <formula>$V11&gt;249</formula>
    </cfRule>
    <cfRule type="expression" dxfId="32" priority="5" stopIfTrue="1">
      <formula>$AB11&gt;0</formula>
    </cfRule>
  </conditionalFormatting>
  <conditionalFormatting sqref="AB11:AB38">
    <cfRule type="cellIs" dxfId="31" priority="6" stopIfTrue="1" operator="equal">
      <formula>"-"</formula>
    </cfRule>
    <cfRule type="expression" dxfId="30" priority="11" stopIfTrue="1">
      <formula>$AB11&gt;$AE$4</formula>
    </cfRule>
    <cfRule type="expression" dxfId="29" priority="12" stopIfTrue="1">
      <formula>$AB11&gt;$AE$2</formula>
    </cfRule>
    <cfRule type="expression" dxfId="28" priority="13" stopIfTrue="1">
      <formula>$AB11&gt;$AE$1</formula>
    </cfRule>
    <cfRule type="expression" dxfId="27" priority="14" stopIfTrue="1">
      <formula>$AB11&gt;0</formula>
    </cfRule>
  </conditionalFormatting>
  <conditionalFormatting sqref="AC11:AD38">
    <cfRule type="cellIs" dxfId="26" priority="7" stopIfTrue="1" operator="equal">
      <formula>"Low"</formula>
    </cfRule>
    <cfRule type="cellIs" dxfId="25" priority="8" stopIfTrue="1" operator="equal">
      <formula>"Very High"</formula>
    </cfRule>
    <cfRule type="cellIs" dxfId="24" priority="9" stopIfTrue="1" operator="equal">
      <formula>"High"</formula>
    </cfRule>
    <cfRule type="cellIs" dxfId="23" priority="10" stopIfTrue="1" operator="equal">
      <formula>"Medium"</formula>
    </cfRule>
  </conditionalFormatting>
  <dataValidations count="1">
    <dataValidation type="list" allowBlank="1" showInputMessage="1" showErrorMessage="1" sqref="X11:Z38 J11:J38 L11:L38 H11:H38 R11:T38" xr:uid="{8BC349C2-9F27-459D-9D0E-F8655086662E}">
      <formula1>$AF$1:$AF$11</formula1>
    </dataValidation>
  </dataValidations>
  <pageMargins left="0.70866141732283472" right="0.70866141732283472" top="0.94488188976377963" bottom="0.74803149606299213" header="0.31496062992125984" footer="0.31496062992125984"/>
  <pageSetup paperSize="9" scale="17" orientation="landscape" r:id="rId1"/>
  <headerFooter>
    <oddHeader xml:space="preserve">&amp;L&amp;G&amp;CMatrices de pilotage des risques&amp;REnregistrement 
Réf. :ENR-QUA-10 
Indice :3.0
Confidentialité : Restreint   </oddHeader>
  </headerFooter>
  <colBreaks count="1" manualBreakCount="1">
    <brk id="31" max="1048575" man="1"/>
  </colBreaks>
  <drawing r:id="rId2"/>
  <legacyDrawingHF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33632-7656-48A8-94D6-52BF40798C3E}">
  <sheetPr>
    <tabColor theme="5" tint="0.39997558519241921"/>
  </sheetPr>
  <dimension ref="B1:N34"/>
  <sheetViews>
    <sheetView showGridLines="0" zoomScale="80" zoomScaleNormal="80" zoomScaleSheetLayoutView="40" workbookViewId="0">
      <selection activeCell="T23" sqref="T23"/>
    </sheetView>
  </sheetViews>
  <sheetFormatPr baseColWidth="10" defaultColWidth="10.85546875" defaultRowHeight="12.75" x14ac:dyDescent="0.2"/>
  <cols>
    <col min="1" max="1" width="2.85546875" style="2" customWidth="1"/>
    <col min="2" max="2" width="11.85546875" style="2" bestFit="1" customWidth="1"/>
    <col min="3" max="3" width="4.28515625" style="2" customWidth="1"/>
    <col min="4" max="4" width="3.28515625" style="2" customWidth="1"/>
    <col min="5" max="12" width="10.85546875" style="2"/>
    <col min="13" max="13" width="1.5703125" style="2" customWidth="1"/>
    <col min="14" max="14" width="14.42578125" style="2" customWidth="1"/>
    <col min="15" max="16384" width="10.85546875" style="2"/>
  </cols>
  <sheetData>
    <row r="1" spans="2:14" ht="18" x14ac:dyDescent="0.25">
      <c r="E1" s="108"/>
    </row>
    <row r="2" spans="2:14" ht="28.5" x14ac:dyDescent="0.25">
      <c r="B2" s="173" t="s">
        <v>342</v>
      </c>
      <c r="E2" s="108"/>
    </row>
    <row r="4" spans="2:14" ht="33" x14ac:dyDescent="0.35">
      <c r="B4" s="376">
        <f ca="1">TODAY()</f>
        <v>46325</v>
      </c>
      <c r="C4" s="162"/>
      <c r="D4" s="162"/>
      <c r="E4" s="377" t="s">
        <v>343</v>
      </c>
      <c r="F4" s="378" t="s">
        <v>344</v>
      </c>
      <c r="G4" s="378" t="s">
        <v>345</v>
      </c>
      <c r="H4" s="378"/>
      <c r="I4" s="378"/>
      <c r="J4" s="378"/>
      <c r="K4" s="378"/>
      <c r="L4" s="378"/>
      <c r="M4" s="162"/>
      <c r="N4" s="162"/>
    </row>
    <row r="5" spans="2:14" ht="20.100000000000001" customHeight="1" x14ac:dyDescent="0.35">
      <c r="B5" s="379">
        <f>COUNTIF(AMDEC!AB11:AB38,"VERY HIGH")</f>
        <v>0</v>
      </c>
      <c r="C5" s="162"/>
      <c r="D5" s="547" t="s">
        <v>317</v>
      </c>
      <c r="E5" s="380" t="s">
        <v>243</v>
      </c>
      <c r="F5" s="381"/>
      <c r="G5" s="379"/>
      <c r="H5" s="381"/>
      <c r="I5" s="379"/>
      <c r="J5" s="381"/>
      <c r="K5" s="381"/>
      <c r="L5" s="381"/>
      <c r="M5" s="162"/>
      <c r="N5" s="162"/>
    </row>
    <row r="6" spans="2:14" ht="20.100000000000001" customHeight="1" x14ac:dyDescent="0.35">
      <c r="B6" s="379">
        <f>COUNTIF(AMDEC!AB11:AB38,"HIGH")</f>
        <v>0</v>
      </c>
      <c r="C6" s="162"/>
      <c r="D6" s="548"/>
      <c r="E6" s="380" t="s">
        <v>346</v>
      </c>
      <c r="F6" s="381"/>
      <c r="G6" s="379"/>
      <c r="H6" s="381"/>
      <c r="I6" s="379"/>
      <c r="J6" s="381"/>
      <c r="K6" s="381"/>
      <c r="L6" s="381"/>
      <c r="M6" s="162"/>
      <c r="N6" s="162"/>
    </row>
    <row r="7" spans="2:14" ht="20.100000000000001" customHeight="1" x14ac:dyDescent="0.35">
      <c r="B7" s="379">
        <f>COUNTIF(AMDEC!AB11:AB38,"MEDIUM")</f>
        <v>0</v>
      </c>
      <c r="C7" s="162"/>
      <c r="D7" s="548"/>
      <c r="E7" s="380" t="s">
        <v>347</v>
      </c>
      <c r="F7" s="381"/>
      <c r="G7" s="379"/>
      <c r="H7" s="381"/>
      <c r="I7" s="379"/>
      <c r="J7" s="381"/>
      <c r="K7" s="381"/>
      <c r="L7" s="381"/>
      <c r="M7" s="162"/>
      <c r="N7" s="162"/>
    </row>
    <row r="8" spans="2:14" ht="20.100000000000001" customHeight="1" x14ac:dyDescent="0.35">
      <c r="B8" s="379">
        <f>COUNTIF(AMDEC!AB11:AB38,"LOW")</f>
        <v>0</v>
      </c>
      <c r="C8" s="162"/>
      <c r="D8" s="549"/>
      <c r="E8" s="380" t="s">
        <v>27</v>
      </c>
      <c r="F8" s="381"/>
      <c r="G8" s="379"/>
      <c r="H8" s="381"/>
      <c r="I8" s="379"/>
      <c r="J8" s="381"/>
      <c r="K8" s="381"/>
      <c r="L8" s="381"/>
      <c r="M8" s="162"/>
      <c r="N8" s="162"/>
    </row>
    <row r="9" spans="2:14" ht="16.5" x14ac:dyDescent="0.35">
      <c r="B9" s="162"/>
      <c r="C9" s="162"/>
      <c r="D9" s="162"/>
      <c r="E9" s="162"/>
      <c r="F9" s="162"/>
      <c r="G9" s="162"/>
      <c r="H9" s="162"/>
      <c r="I9" s="162"/>
      <c r="J9" s="162"/>
      <c r="K9" s="162"/>
      <c r="L9" s="162"/>
      <c r="M9" s="162"/>
      <c r="N9" s="162"/>
    </row>
    <row r="10" spans="2:14" ht="16.5" x14ac:dyDescent="0.35">
      <c r="B10" s="162"/>
      <c r="C10" s="162"/>
      <c r="D10" s="162"/>
      <c r="E10" s="162"/>
      <c r="F10" s="162"/>
      <c r="G10" s="162"/>
      <c r="H10" s="162"/>
      <c r="I10" s="162"/>
      <c r="J10" s="162"/>
      <c r="K10" s="162"/>
      <c r="L10" s="162"/>
      <c r="M10" s="162"/>
      <c r="N10" s="162"/>
    </row>
    <row r="11" spans="2:14" ht="16.5" x14ac:dyDescent="0.35">
      <c r="B11" s="162"/>
      <c r="C11" s="162"/>
      <c r="D11" s="162"/>
      <c r="E11" s="162"/>
      <c r="F11" s="162"/>
      <c r="G11" s="162"/>
      <c r="H11" s="162"/>
      <c r="I11" s="162"/>
      <c r="J11" s="162"/>
      <c r="K11" s="162"/>
      <c r="L11" s="162"/>
      <c r="M11" s="162"/>
      <c r="N11" s="162"/>
    </row>
    <row r="12" spans="2:14" ht="16.5" x14ac:dyDescent="0.35">
      <c r="B12" s="162"/>
      <c r="C12" s="162"/>
      <c r="D12" s="162"/>
      <c r="E12" s="162"/>
      <c r="F12" s="162"/>
      <c r="G12" s="162"/>
      <c r="H12" s="162"/>
      <c r="I12" s="162"/>
      <c r="J12" s="162"/>
      <c r="K12" s="162"/>
      <c r="L12" s="162"/>
      <c r="M12" s="162"/>
      <c r="N12" s="162"/>
    </row>
    <row r="13" spans="2:14" ht="16.5" x14ac:dyDescent="0.35">
      <c r="B13" s="162"/>
      <c r="C13" s="162"/>
      <c r="D13" s="162"/>
      <c r="E13" s="162"/>
      <c r="F13" s="162"/>
      <c r="G13" s="162"/>
      <c r="H13" s="162"/>
      <c r="I13" s="162"/>
      <c r="J13" s="162"/>
      <c r="K13" s="162"/>
      <c r="L13" s="162"/>
      <c r="M13" s="162"/>
      <c r="N13" s="162"/>
    </row>
    <row r="14" spans="2:14" ht="16.5" x14ac:dyDescent="0.35">
      <c r="B14" s="162"/>
      <c r="C14" s="162"/>
      <c r="D14" s="162"/>
      <c r="E14" s="162"/>
      <c r="F14" s="162"/>
      <c r="G14" s="162"/>
      <c r="H14" s="162"/>
      <c r="I14" s="162"/>
      <c r="J14" s="162"/>
      <c r="K14" s="162"/>
      <c r="L14" s="162"/>
      <c r="M14" s="162"/>
      <c r="N14" s="162"/>
    </row>
    <row r="15" spans="2:14" ht="16.5" x14ac:dyDescent="0.35">
      <c r="B15" s="162"/>
      <c r="C15" s="162"/>
      <c r="D15" s="162"/>
      <c r="E15" s="162"/>
      <c r="F15" s="162"/>
      <c r="G15" s="162"/>
      <c r="H15" s="162"/>
      <c r="I15" s="162"/>
      <c r="J15" s="162"/>
      <c r="K15" s="162"/>
      <c r="L15" s="162"/>
      <c r="M15" s="162"/>
      <c r="N15" s="162"/>
    </row>
    <row r="16" spans="2:14" ht="16.5" x14ac:dyDescent="0.35">
      <c r="B16" s="162"/>
      <c r="C16" s="162"/>
      <c r="D16" s="162"/>
      <c r="E16" s="162"/>
      <c r="F16" s="162"/>
      <c r="G16" s="162"/>
      <c r="H16" s="162"/>
      <c r="I16" s="162"/>
      <c r="J16" s="162"/>
      <c r="K16" s="162"/>
      <c r="L16" s="162"/>
      <c r="M16" s="162"/>
      <c r="N16" s="162"/>
    </row>
    <row r="17" spans="2:14" ht="16.5" x14ac:dyDescent="0.35">
      <c r="B17" s="162"/>
      <c r="C17" s="162"/>
      <c r="D17" s="162"/>
      <c r="E17" s="162"/>
      <c r="F17" s="162"/>
      <c r="G17" s="162"/>
      <c r="H17" s="162"/>
      <c r="I17" s="162"/>
      <c r="J17" s="162"/>
      <c r="K17" s="162"/>
      <c r="L17" s="162"/>
      <c r="M17" s="162"/>
      <c r="N17" s="162"/>
    </row>
    <row r="18" spans="2:14" ht="16.5" x14ac:dyDescent="0.35">
      <c r="B18" s="162"/>
      <c r="C18" s="162"/>
      <c r="D18" s="162"/>
      <c r="E18" s="162"/>
      <c r="F18" s="162"/>
      <c r="G18" s="162"/>
      <c r="H18" s="162"/>
      <c r="I18" s="162"/>
      <c r="J18" s="162"/>
      <c r="K18" s="162"/>
      <c r="L18" s="162"/>
      <c r="M18" s="162"/>
      <c r="N18" s="162"/>
    </row>
    <row r="19" spans="2:14" ht="16.5" x14ac:dyDescent="0.35">
      <c r="B19" s="162"/>
      <c r="C19" s="162"/>
      <c r="D19" s="162"/>
      <c r="E19" s="162"/>
      <c r="F19" s="162"/>
      <c r="G19" s="162"/>
      <c r="H19" s="162"/>
      <c r="I19" s="162"/>
      <c r="J19" s="162"/>
      <c r="K19" s="162"/>
      <c r="L19" s="162"/>
      <c r="M19" s="162"/>
      <c r="N19" s="162"/>
    </row>
    <row r="20" spans="2:14" ht="16.5" x14ac:dyDescent="0.35">
      <c r="B20" s="162"/>
      <c r="C20" s="162"/>
      <c r="D20" s="162"/>
      <c r="E20" s="162"/>
      <c r="F20" s="162"/>
      <c r="G20" s="162"/>
      <c r="H20" s="162"/>
      <c r="I20" s="162"/>
      <c r="J20" s="162"/>
      <c r="K20" s="162"/>
      <c r="L20" s="162"/>
      <c r="M20" s="162"/>
      <c r="N20" s="162"/>
    </row>
    <row r="21" spans="2:14" ht="16.5" x14ac:dyDescent="0.35">
      <c r="B21" s="162"/>
      <c r="C21" s="162"/>
      <c r="D21" s="162"/>
      <c r="E21" s="162"/>
      <c r="F21" s="162"/>
      <c r="G21" s="162"/>
      <c r="H21" s="162"/>
      <c r="I21" s="162"/>
      <c r="J21" s="162"/>
      <c r="K21" s="162"/>
      <c r="L21" s="162"/>
      <c r="M21" s="162"/>
      <c r="N21" s="162"/>
    </row>
    <row r="22" spans="2:14" ht="16.5" x14ac:dyDescent="0.35">
      <c r="B22" s="162"/>
      <c r="C22" s="162"/>
      <c r="D22" s="162"/>
      <c r="E22" s="162"/>
      <c r="F22" s="162"/>
      <c r="G22" s="162"/>
      <c r="H22" s="162"/>
      <c r="I22" s="162"/>
      <c r="J22" s="162"/>
      <c r="K22" s="162"/>
      <c r="L22" s="162"/>
      <c r="M22" s="162"/>
      <c r="N22" s="162"/>
    </row>
    <row r="23" spans="2:14" ht="16.5" x14ac:dyDescent="0.35">
      <c r="B23" s="162"/>
      <c r="C23" s="162"/>
      <c r="D23" s="162"/>
      <c r="E23" s="162"/>
      <c r="F23" s="162"/>
      <c r="G23" s="162"/>
      <c r="H23" s="162"/>
      <c r="I23" s="162"/>
      <c r="J23" s="162"/>
      <c r="K23" s="162"/>
      <c r="L23" s="162"/>
      <c r="M23" s="162"/>
      <c r="N23" s="162"/>
    </row>
    <row r="24" spans="2:14" ht="16.5" x14ac:dyDescent="0.35">
      <c r="B24" s="162"/>
      <c r="C24" s="162"/>
      <c r="D24" s="162"/>
      <c r="E24" s="162"/>
      <c r="F24" s="162"/>
      <c r="G24" s="162"/>
      <c r="H24" s="162"/>
      <c r="I24" s="162"/>
      <c r="J24" s="162"/>
      <c r="K24" s="162"/>
      <c r="L24" s="162"/>
      <c r="M24" s="162"/>
      <c r="N24" s="162"/>
    </row>
    <row r="25" spans="2:14" ht="16.5" x14ac:dyDescent="0.35">
      <c r="B25" s="162"/>
      <c r="C25" s="162"/>
      <c r="D25" s="162"/>
      <c r="E25" s="162"/>
      <c r="F25" s="162"/>
      <c r="G25" s="162"/>
      <c r="H25" s="162"/>
      <c r="I25" s="162"/>
      <c r="J25" s="162"/>
      <c r="K25" s="162"/>
      <c r="L25" s="162"/>
      <c r="M25" s="162"/>
      <c r="N25" s="162"/>
    </row>
    <row r="26" spans="2:14" ht="16.5" x14ac:dyDescent="0.35">
      <c r="B26" s="162"/>
      <c r="C26" s="162"/>
      <c r="D26" s="162"/>
      <c r="E26" s="162"/>
      <c r="F26" s="162"/>
      <c r="G26" s="162"/>
      <c r="H26" s="162"/>
      <c r="I26" s="162"/>
      <c r="J26" s="162"/>
      <c r="K26" s="162"/>
      <c r="L26" s="162"/>
      <c r="M26" s="162"/>
      <c r="N26" s="162"/>
    </row>
    <row r="27" spans="2:14" ht="16.5" x14ac:dyDescent="0.35">
      <c r="B27" s="162"/>
      <c r="C27" s="162"/>
      <c r="D27" s="162"/>
      <c r="E27" s="162"/>
      <c r="F27" s="162"/>
      <c r="G27" s="162"/>
      <c r="H27" s="162"/>
      <c r="I27" s="162"/>
      <c r="J27" s="162"/>
      <c r="K27" s="162"/>
      <c r="L27" s="162"/>
      <c r="M27" s="162"/>
      <c r="N27" s="162"/>
    </row>
    <row r="28" spans="2:14" ht="16.5" x14ac:dyDescent="0.35">
      <c r="B28" s="162"/>
      <c r="C28" s="162"/>
      <c r="D28" s="162"/>
      <c r="E28" s="162"/>
      <c r="F28" s="162"/>
      <c r="G28" s="162"/>
      <c r="H28" s="162"/>
      <c r="I28" s="162"/>
      <c r="J28" s="162"/>
      <c r="K28" s="162"/>
      <c r="L28" s="162"/>
      <c r="M28" s="162"/>
      <c r="N28" s="162"/>
    </row>
    <row r="29" spans="2:14" ht="16.5" x14ac:dyDescent="0.35">
      <c r="B29" s="162"/>
      <c r="C29" s="162"/>
      <c r="D29" s="162"/>
      <c r="E29" s="162"/>
      <c r="F29" s="162"/>
      <c r="G29" s="162"/>
      <c r="H29" s="162"/>
      <c r="I29" s="162"/>
      <c r="J29" s="162"/>
      <c r="K29" s="162"/>
      <c r="L29" s="162"/>
      <c r="M29" s="162"/>
      <c r="N29" s="162"/>
    </row>
    <row r="30" spans="2:14" ht="16.5" x14ac:dyDescent="0.35">
      <c r="B30" s="162"/>
      <c r="C30" s="162"/>
      <c r="D30" s="162"/>
      <c r="E30" s="162"/>
      <c r="F30" s="162"/>
      <c r="G30" s="162"/>
      <c r="H30" s="162"/>
      <c r="I30" s="162"/>
      <c r="J30" s="162"/>
      <c r="K30" s="162"/>
      <c r="L30" s="162"/>
      <c r="M30" s="162"/>
      <c r="N30" s="162"/>
    </row>
    <row r="31" spans="2:14" ht="16.5" x14ac:dyDescent="0.35">
      <c r="B31" s="162"/>
      <c r="C31" s="162"/>
      <c r="D31" s="162"/>
      <c r="E31" s="162"/>
      <c r="F31" s="162"/>
      <c r="G31" s="162"/>
      <c r="H31" s="162"/>
      <c r="I31" s="162"/>
      <c r="J31" s="162"/>
      <c r="K31" s="162"/>
      <c r="L31" s="162"/>
      <c r="M31" s="162"/>
      <c r="N31" s="162"/>
    </row>
    <row r="32" spans="2:14" ht="16.5" x14ac:dyDescent="0.35">
      <c r="B32" s="162"/>
      <c r="C32" s="162"/>
      <c r="D32" s="162"/>
      <c r="E32" s="162"/>
      <c r="F32" s="162"/>
      <c r="G32" s="162"/>
      <c r="H32" s="162"/>
      <c r="I32" s="162"/>
      <c r="J32" s="162"/>
      <c r="K32" s="162"/>
      <c r="L32" s="162"/>
      <c r="M32" s="162"/>
      <c r="N32" s="162"/>
    </row>
    <row r="33" spans="2:14" ht="16.5" x14ac:dyDescent="0.35">
      <c r="B33" s="162"/>
      <c r="C33" s="162"/>
      <c r="D33" s="162"/>
      <c r="E33" s="162"/>
      <c r="F33" s="162"/>
      <c r="G33" s="162"/>
      <c r="H33" s="162"/>
      <c r="I33" s="162"/>
      <c r="J33" s="162"/>
      <c r="K33" s="162"/>
      <c r="L33" s="162"/>
      <c r="M33" s="162"/>
      <c r="N33" s="162"/>
    </row>
    <row r="34" spans="2:14" ht="16.5" x14ac:dyDescent="0.35">
      <c r="B34" s="162"/>
      <c r="C34" s="162"/>
      <c r="D34" s="162"/>
      <c r="E34" s="162"/>
      <c r="F34" s="162"/>
      <c r="G34" s="162"/>
      <c r="H34" s="162"/>
      <c r="I34" s="162"/>
      <c r="J34" s="162"/>
      <c r="K34" s="162"/>
      <c r="L34" s="162"/>
      <c r="M34" s="162"/>
      <c r="N34" s="162"/>
    </row>
  </sheetData>
  <mergeCells count="1">
    <mergeCell ref="D5:D8"/>
  </mergeCells>
  <pageMargins left="0.70866141732283472" right="0.70866141732283472" top="0.94488188976377963" bottom="0.74803149606299213" header="0.31496062992125984" footer="0.31496062992125984"/>
  <pageSetup paperSize="9" scale="61" orientation="portrait" r:id="rId1"/>
  <headerFooter>
    <oddHeader xml:space="preserve">&amp;L&amp;G&amp;CMatrices de pilotage des risques&amp;REnregistrement 
Réf. :ENR-QUA-10 
Indice :3.0
Confidentialité : Restreint   </oddHeader>
  </headerFooter>
  <drawing r:id="rId2"/>
  <legacyDrawing r:id="rId3"/>
  <legacyDrawingHF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4271-64F4-4BF1-89A9-C51F4625B969}">
  <dimension ref="A1:AL56"/>
  <sheetViews>
    <sheetView zoomScaleNormal="100" zoomScaleSheetLayoutView="100" workbookViewId="0">
      <selection activeCell="D15" sqref="D15"/>
    </sheetView>
  </sheetViews>
  <sheetFormatPr baseColWidth="10" defaultColWidth="9.140625" defaultRowHeight="12.75" outlineLevelRow="1" x14ac:dyDescent="0.2"/>
  <cols>
    <col min="1" max="1" width="9.140625" style="2"/>
    <col min="2" max="2" width="15.85546875" style="2" customWidth="1"/>
    <col min="3" max="3" width="16.140625" style="2" customWidth="1"/>
    <col min="4" max="4" width="28" style="2" customWidth="1"/>
    <col min="5" max="5" width="13.5703125" style="2" customWidth="1"/>
    <col min="6" max="6" width="28" style="2" customWidth="1"/>
    <col min="7" max="7" width="25" style="2" customWidth="1"/>
    <col min="8" max="8" width="10" style="2" customWidth="1"/>
    <col min="9" max="9" width="26.42578125" style="2" customWidth="1"/>
    <col min="10" max="10" width="10" style="2" customWidth="1"/>
    <col min="11" max="11" width="33" style="2" customWidth="1"/>
    <col min="12" max="12" width="6.7109375" style="2" customWidth="1"/>
    <col min="13" max="14" width="7" style="2" customWidth="1"/>
    <col min="15" max="15" width="26.5703125" style="2" customWidth="1"/>
    <col min="16" max="17" width="13.140625" style="2" customWidth="1"/>
    <col min="18" max="18" width="7" style="2" customWidth="1"/>
    <col min="19" max="19" width="5.7109375" style="2" customWidth="1"/>
    <col min="20" max="20" width="5.85546875" style="2" customWidth="1"/>
    <col min="21" max="21" width="4.28515625" style="2" customWidth="1"/>
    <col min="22" max="22" width="10" style="2" customWidth="1"/>
    <col min="23" max="23" width="25.85546875" style="2" customWidth="1"/>
    <col min="24" max="24" width="7" style="2" customWidth="1"/>
    <col min="25" max="25" width="5.7109375" style="2" customWidth="1"/>
    <col min="26" max="26" width="5.85546875" style="2" customWidth="1"/>
    <col min="27" max="27" width="4.28515625" style="2" customWidth="1"/>
    <col min="28" max="28" width="10" style="2" customWidth="1"/>
    <col min="29" max="30" width="10.140625" style="2" bestFit="1" customWidth="1"/>
    <col min="31" max="16384" width="9.140625" style="2"/>
  </cols>
  <sheetData>
    <row r="1" spans="1:36" ht="19.5" customHeight="1" x14ac:dyDescent="0.2">
      <c r="S1" s="5"/>
      <c r="Y1" s="5"/>
      <c r="Z1" s="550" t="s">
        <v>75</v>
      </c>
      <c r="AA1" s="550"/>
      <c r="AB1" s="550"/>
      <c r="AC1" s="550"/>
      <c r="AD1" s="550"/>
      <c r="AE1" s="2" t="s">
        <v>348</v>
      </c>
      <c r="AF1" s="2" t="s">
        <v>349</v>
      </c>
    </row>
    <row r="2" spans="1:36" ht="19.5" customHeight="1" x14ac:dyDescent="0.25">
      <c r="C2" s="1" t="s">
        <v>350</v>
      </c>
      <c r="S2" s="6"/>
      <c r="T2" s="511" t="str">
        <f>"0 - "&amp;Y2</f>
        <v xml:space="preserve">0 - </v>
      </c>
      <c r="U2" s="511"/>
      <c r="Y2" s="6"/>
      <c r="Z2" s="511" t="str">
        <f>"0 - "&amp;AE2</f>
        <v>0 - 249</v>
      </c>
      <c r="AA2" s="511"/>
      <c r="AB2" s="511" t="s">
        <v>351</v>
      </c>
      <c r="AC2" s="511"/>
      <c r="AD2" s="511"/>
      <c r="AE2" s="116">
        <v>249</v>
      </c>
      <c r="AF2" s="2">
        <v>1</v>
      </c>
    </row>
    <row r="3" spans="1:36" ht="19.5" customHeight="1" x14ac:dyDescent="0.2">
      <c r="I3" s="2" t="s">
        <v>292</v>
      </c>
      <c r="S3" s="6"/>
      <c r="T3" s="512" t="str">
        <f>(Y2+1)&amp;" - "&amp;Y3</f>
        <v xml:space="preserve">1 - </v>
      </c>
      <c r="U3" s="512"/>
      <c r="Y3" s="6"/>
      <c r="Z3" s="512" t="str">
        <f>(AE2+1)&amp;" - "&amp;AE3</f>
        <v>250 - 499</v>
      </c>
      <c r="AA3" s="512"/>
      <c r="AB3" s="512" t="s">
        <v>77</v>
      </c>
      <c r="AC3" s="512"/>
      <c r="AD3" s="512"/>
      <c r="AE3" s="116">
        <v>499</v>
      </c>
      <c r="AF3" s="2">
        <v>2</v>
      </c>
    </row>
    <row r="4" spans="1:36" ht="19.5" customHeight="1" x14ac:dyDescent="0.2">
      <c r="C4" s="7" t="s">
        <v>352</v>
      </c>
      <c r="D4" s="8"/>
      <c r="E4" s="9"/>
      <c r="F4" s="10"/>
      <c r="G4" s="551" t="s">
        <v>353</v>
      </c>
      <c r="H4" s="552"/>
      <c r="I4" s="553"/>
      <c r="K4" s="11" t="s">
        <v>354</v>
      </c>
      <c r="L4" s="557"/>
      <c r="M4" s="557"/>
      <c r="N4" s="557"/>
      <c r="O4" s="12"/>
      <c r="P4" s="13"/>
      <c r="Q4" s="14"/>
      <c r="R4" s="14"/>
      <c r="S4" s="6"/>
      <c r="T4" s="558" t="str">
        <f>(Y3+1)&amp;" - "&amp;Y4</f>
        <v xml:space="preserve">1 - </v>
      </c>
      <c r="U4" s="558"/>
      <c r="V4" s="14"/>
      <c r="W4" s="14"/>
      <c r="X4" s="14"/>
      <c r="Y4" s="6"/>
      <c r="Z4" s="558" t="str">
        <f>(AE3+1)&amp;" - "&amp;AE4</f>
        <v>500 - 749</v>
      </c>
      <c r="AA4" s="558"/>
      <c r="AB4" s="558" t="s">
        <v>355</v>
      </c>
      <c r="AC4" s="558"/>
      <c r="AD4" s="558"/>
      <c r="AE4" s="117">
        <v>749</v>
      </c>
      <c r="AF4" s="2">
        <v>3</v>
      </c>
    </row>
    <row r="5" spans="1:36" ht="19.5" customHeight="1" x14ac:dyDescent="0.2">
      <c r="C5" s="15"/>
      <c r="D5" s="16"/>
      <c r="E5" s="17"/>
      <c r="F5" s="18"/>
      <c r="G5" s="554"/>
      <c r="H5" s="555"/>
      <c r="I5" s="556"/>
      <c r="K5" s="19" t="s">
        <v>356</v>
      </c>
      <c r="L5" s="559"/>
      <c r="M5" s="559"/>
      <c r="N5" s="559"/>
      <c r="O5" s="20" t="s">
        <v>357</v>
      </c>
      <c r="P5" s="21"/>
      <c r="Q5" s="22"/>
      <c r="R5" s="22"/>
      <c r="S5" s="6"/>
      <c r="T5" s="560" t="str">
        <f>(Y4+1)&amp;" - "&amp;Y5</f>
        <v xml:space="preserve">1 - </v>
      </c>
      <c r="U5" s="560"/>
      <c r="V5" s="22"/>
      <c r="W5" s="22"/>
      <c r="X5" s="22"/>
      <c r="Y5" s="6"/>
      <c r="Z5" s="560" t="str">
        <f>(AE4+1)&amp;" - "&amp;AE5</f>
        <v>750 - 1000</v>
      </c>
      <c r="AA5" s="560"/>
      <c r="AB5" s="560" t="s">
        <v>358</v>
      </c>
      <c r="AC5" s="560"/>
      <c r="AD5" s="560"/>
      <c r="AE5" s="117">
        <v>1000</v>
      </c>
      <c r="AF5" s="2">
        <v>4</v>
      </c>
    </row>
    <row r="6" spans="1:36" ht="6.75" customHeight="1" x14ac:dyDescent="0.2">
      <c r="C6" s="4"/>
      <c r="D6" s="4"/>
      <c r="E6" s="23"/>
      <c r="F6" s="4"/>
      <c r="G6" s="24"/>
      <c r="H6" s="24"/>
      <c r="I6" s="24"/>
      <c r="K6" s="25"/>
      <c r="L6" s="23"/>
      <c r="M6" s="23"/>
      <c r="N6" s="23"/>
      <c r="O6" s="14"/>
      <c r="P6" s="22"/>
      <c r="Q6" s="22"/>
      <c r="R6" s="22"/>
      <c r="S6" s="6"/>
      <c r="T6" s="26"/>
      <c r="U6" s="26"/>
      <c r="V6" s="26"/>
      <c r="W6" s="22"/>
      <c r="X6" s="22"/>
      <c r="Y6" s="6"/>
      <c r="Z6" s="26"/>
      <c r="AA6" s="26"/>
      <c r="AB6" s="26"/>
      <c r="AC6" s="26"/>
      <c r="AD6" s="26"/>
      <c r="AE6" s="117"/>
      <c r="AF6" s="2">
        <v>5</v>
      </c>
    </row>
    <row r="7" spans="1:36" ht="6.75" customHeight="1" x14ac:dyDescent="0.2">
      <c r="C7" s="4"/>
      <c r="D7" s="4"/>
      <c r="E7" s="23"/>
      <c r="F7" s="4"/>
      <c r="G7" s="24"/>
      <c r="H7" s="24"/>
      <c r="I7" s="24"/>
      <c r="K7" s="25"/>
      <c r="L7" s="23"/>
      <c r="M7" s="23"/>
      <c r="N7" s="23"/>
      <c r="O7" s="14"/>
      <c r="P7" s="22"/>
      <c r="Q7" s="22"/>
      <c r="R7" s="22"/>
      <c r="S7" s="6"/>
      <c r="T7" s="26"/>
      <c r="U7" s="26"/>
      <c r="V7" s="26"/>
      <c r="W7" s="22"/>
      <c r="X7" s="22"/>
      <c r="Y7" s="6"/>
      <c r="Z7" s="26"/>
      <c r="AA7" s="26"/>
      <c r="AB7" s="26"/>
      <c r="AC7" s="26"/>
      <c r="AD7" s="26"/>
      <c r="AE7" s="117"/>
      <c r="AF7" s="2">
        <v>6</v>
      </c>
    </row>
    <row r="8" spans="1:36" ht="6.75" customHeight="1" x14ac:dyDescent="0.2">
      <c r="C8" s="4"/>
      <c r="D8" s="4"/>
      <c r="E8" s="23"/>
      <c r="F8" s="4"/>
      <c r="G8" s="24"/>
      <c r="H8" s="24"/>
      <c r="I8" s="24"/>
      <c r="K8" s="25"/>
      <c r="L8" s="23"/>
      <c r="M8" s="23"/>
      <c r="N8" s="23"/>
      <c r="O8" s="14"/>
      <c r="P8" s="22"/>
      <c r="Q8" s="22"/>
      <c r="R8" s="22"/>
      <c r="S8" s="6"/>
      <c r="T8" s="26"/>
      <c r="U8" s="26"/>
      <c r="V8" s="26"/>
      <c r="W8" s="22"/>
      <c r="X8" s="22"/>
      <c r="Y8" s="6"/>
      <c r="Z8" s="26"/>
      <c r="AA8" s="26"/>
      <c r="AB8" s="26"/>
      <c r="AC8" s="26"/>
      <c r="AD8" s="26"/>
      <c r="AE8" s="117"/>
      <c r="AF8" s="2">
        <v>7</v>
      </c>
    </row>
    <row r="9" spans="1:36" ht="6.75" customHeight="1" x14ac:dyDescent="0.2">
      <c r="C9" s="4"/>
      <c r="D9" s="4"/>
      <c r="E9" s="23"/>
      <c r="F9" s="4"/>
      <c r="G9" s="24"/>
      <c r="H9" s="24"/>
      <c r="I9" s="24"/>
      <c r="K9" s="25"/>
      <c r="L9" s="23"/>
      <c r="M9" s="23"/>
      <c r="N9" s="23"/>
      <c r="O9" s="14"/>
      <c r="P9" s="22"/>
      <c r="Q9" s="22"/>
      <c r="R9" s="22"/>
      <c r="S9" s="6"/>
      <c r="T9" s="26"/>
      <c r="U9" s="26"/>
      <c r="V9" s="26"/>
      <c r="W9" s="22"/>
      <c r="X9" s="22"/>
      <c r="Y9" s="6"/>
      <c r="Z9" s="26"/>
      <c r="AA9" s="26"/>
      <c r="AB9" s="26"/>
      <c r="AC9" s="26"/>
      <c r="AD9" s="26"/>
      <c r="AE9" s="117"/>
      <c r="AF9" s="2">
        <v>8</v>
      </c>
    </row>
    <row r="10" spans="1:36" ht="6.75" customHeight="1" x14ac:dyDescent="0.2">
      <c r="C10" s="4"/>
      <c r="D10" s="4"/>
      <c r="E10" s="23"/>
      <c r="F10" s="4"/>
      <c r="G10" s="24"/>
      <c r="H10" s="24"/>
      <c r="I10" s="24"/>
      <c r="K10" s="25"/>
      <c r="L10" s="23"/>
      <c r="M10" s="23"/>
      <c r="N10" s="23"/>
      <c r="O10" s="14"/>
      <c r="P10" s="22"/>
      <c r="Q10" s="22"/>
      <c r="R10" s="22"/>
      <c r="S10" s="6"/>
      <c r="T10" s="26"/>
      <c r="U10" s="26"/>
      <c r="V10" s="26"/>
      <c r="W10" s="22"/>
      <c r="X10" s="22"/>
      <c r="Y10" s="6"/>
      <c r="Z10" s="26"/>
      <c r="AA10" s="26"/>
      <c r="AB10" s="26"/>
      <c r="AC10" s="26"/>
      <c r="AD10" s="26"/>
      <c r="AE10" s="117"/>
      <c r="AF10" s="2">
        <v>9</v>
      </c>
    </row>
    <row r="11" spans="1:36" ht="6.75" customHeight="1" thickBot="1" x14ac:dyDescent="0.25">
      <c r="C11" s="4"/>
      <c r="D11" s="4"/>
      <c r="E11" s="25"/>
      <c r="F11" s="4"/>
      <c r="G11" s="24"/>
      <c r="H11" s="24"/>
      <c r="I11" s="24"/>
      <c r="K11" s="25"/>
      <c r="L11" s="25"/>
      <c r="M11" s="25"/>
      <c r="N11" s="25"/>
      <c r="O11" s="14"/>
      <c r="P11" s="14"/>
      <c r="Q11" s="14"/>
      <c r="R11" s="26"/>
      <c r="S11" s="26"/>
      <c r="T11" s="27"/>
      <c r="U11" s="27"/>
      <c r="V11" s="27"/>
      <c r="W11" s="28"/>
      <c r="X11" s="26"/>
      <c r="Y11" s="26"/>
      <c r="Z11" s="27"/>
      <c r="AA11" s="27"/>
      <c r="AB11" s="27"/>
      <c r="AC11" s="27"/>
      <c r="AD11" s="27"/>
      <c r="AF11" s="2">
        <v>10</v>
      </c>
    </row>
    <row r="12" spans="1:36" s="29" customFormat="1" ht="14.25" customHeight="1" thickBot="1" x14ac:dyDescent="0.25">
      <c r="C12" s="30" t="s">
        <v>359</v>
      </c>
      <c r="D12" s="31"/>
      <c r="E12" s="32"/>
      <c r="F12" s="33"/>
      <c r="G12" s="34" t="s">
        <v>360</v>
      </c>
      <c r="H12" s="35"/>
      <c r="I12" s="36" t="s">
        <v>299</v>
      </c>
      <c r="J12" s="37"/>
      <c r="K12" s="38" t="s">
        <v>361</v>
      </c>
      <c r="L12" s="39"/>
      <c r="M12" s="40" t="s">
        <v>71</v>
      </c>
      <c r="N12" s="41"/>
      <c r="O12" s="42" t="s">
        <v>362</v>
      </c>
      <c r="P12" s="32"/>
      <c r="Q12" s="32"/>
      <c r="R12" s="43" t="s">
        <v>363</v>
      </c>
      <c r="S12" s="44"/>
      <c r="T12" s="44"/>
      <c r="U12" s="44"/>
      <c r="V12" s="45"/>
      <c r="W12" s="46"/>
      <c r="X12" s="43" t="s">
        <v>364</v>
      </c>
      <c r="Y12" s="44"/>
      <c r="Z12" s="44"/>
      <c r="AA12" s="44"/>
      <c r="AB12" s="45"/>
      <c r="AC12" s="42" t="s">
        <v>365</v>
      </c>
      <c r="AD12" s="46"/>
    </row>
    <row r="13" spans="1:36" ht="54" customHeight="1" thickBot="1" x14ac:dyDescent="0.25">
      <c r="A13" s="47" t="s">
        <v>305</v>
      </c>
      <c r="B13" s="118" t="s">
        <v>366</v>
      </c>
      <c r="C13" s="119" t="s">
        <v>367</v>
      </c>
      <c r="D13" s="120" t="s">
        <v>368</v>
      </c>
      <c r="E13" s="49" t="s">
        <v>369</v>
      </c>
      <c r="F13" s="50" t="s">
        <v>370</v>
      </c>
      <c r="G13" s="51" t="s">
        <v>371</v>
      </c>
      <c r="H13" s="50" t="s">
        <v>311</v>
      </c>
      <c r="I13" s="51" t="s">
        <v>372</v>
      </c>
      <c r="J13" s="50" t="s">
        <v>313</v>
      </c>
      <c r="K13" s="51" t="s">
        <v>373</v>
      </c>
      <c r="L13" s="50" t="s">
        <v>315</v>
      </c>
      <c r="M13" s="52" t="s">
        <v>316</v>
      </c>
      <c r="N13" s="53" t="s">
        <v>317</v>
      </c>
      <c r="O13" s="48" t="s">
        <v>374</v>
      </c>
      <c r="P13" s="49" t="s">
        <v>319</v>
      </c>
      <c r="Q13" s="49" t="s">
        <v>320</v>
      </c>
      <c r="R13" s="54" t="s">
        <v>311</v>
      </c>
      <c r="S13" s="55" t="s">
        <v>313</v>
      </c>
      <c r="T13" s="53" t="s">
        <v>315</v>
      </c>
      <c r="U13" s="54" t="s">
        <v>316</v>
      </c>
      <c r="V13" s="56" t="s">
        <v>317</v>
      </c>
      <c r="W13" s="50" t="s">
        <v>375</v>
      </c>
      <c r="X13" s="54" t="s">
        <v>311</v>
      </c>
      <c r="Y13" s="55" t="s">
        <v>313</v>
      </c>
      <c r="Z13" s="53" t="s">
        <v>315</v>
      </c>
      <c r="AA13" s="54" t="s">
        <v>316</v>
      </c>
      <c r="AB13" s="56" t="s">
        <v>317</v>
      </c>
      <c r="AC13" s="48" t="s">
        <v>376</v>
      </c>
      <c r="AD13" s="50" t="s">
        <v>377</v>
      </c>
    </row>
    <row r="14" spans="1:36" s="60" customFormat="1" ht="112.5" customHeight="1" outlineLevel="1" x14ac:dyDescent="0.2">
      <c r="A14" s="563"/>
      <c r="B14" s="121"/>
      <c r="C14" s="122" t="s">
        <v>378</v>
      </c>
      <c r="D14" s="123" t="s">
        <v>379</v>
      </c>
      <c r="E14" s="565" t="s">
        <v>380</v>
      </c>
      <c r="F14" s="567" t="s">
        <v>381</v>
      </c>
      <c r="G14" s="569" t="s">
        <v>382</v>
      </c>
      <c r="H14" s="57" t="s">
        <v>383</v>
      </c>
      <c r="I14" s="571" t="s">
        <v>384</v>
      </c>
      <c r="J14" s="58" t="s">
        <v>385</v>
      </c>
      <c r="K14" s="573" t="s">
        <v>386</v>
      </c>
      <c r="L14" s="59" t="s">
        <v>387</v>
      </c>
      <c r="M14" s="575" t="s">
        <v>388</v>
      </c>
      <c r="N14" s="577" t="s">
        <v>389</v>
      </c>
      <c r="O14" s="579" t="s">
        <v>390</v>
      </c>
      <c r="P14" s="565" t="s">
        <v>391</v>
      </c>
      <c r="Q14" s="581" t="s">
        <v>392</v>
      </c>
      <c r="R14" s="561" t="s">
        <v>393</v>
      </c>
      <c r="S14" s="575" t="s">
        <v>385</v>
      </c>
      <c r="T14" s="577" t="s">
        <v>387</v>
      </c>
      <c r="U14" s="561" t="s">
        <v>388</v>
      </c>
      <c r="V14" s="585"/>
      <c r="W14" s="587" t="s">
        <v>394</v>
      </c>
      <c r="X14" s="561" t="s">
        <v>393</v>
      </c>
      <c r="Y14" s="575" t="s">
        <v>385</v>
      </c>
      <c r="Z14" s="577" t="s">
        <v>387</v>
      </c>
      <c r="AA14" s="561" t="s">
        <v>388</v>
      </c>
      <c r="AB14" s="585"/>
      <c r="AC14" s="561" t="s">
        <v>395</v>
      </c>
      <c r="AD14" s="583" t="s">
        <v>396</v>
      </c>
      <c r="AE14" s="2"/>
      <c r="AF14" s="2"/>
      <c r="AG14" s="2"/>
      <c r="AH14" s="2"/>
      <c r="AI14" s="2"/>
      <c r="AJ14" s="2"/>
    </row>
    <row r="15" spans="1:36" s="60" customFormat="1" ht="53.25" customHeight="1" outlineLevel="1" thickBot="1" x14ac:dyDescent="0.25">
      <c r="A15" s="564"/>
      <c r="B15" s="124"/>
      <c r="C15" s="125"/>
      <c r="D15" s="126"/>
      <c r="E15" s="566"/>
      <c r="F15" s="568"/>
      <c r="G15" s="570"/>
      <c r="H15" s="61" t="s">
        <v>397</v>
      </c>
      <c r="I15" s="572"/>
      <c r="J15" s="62" t="s">
        <v>397</v>
      </c>
      <c r="K15" s="574"/>
      <c r="L15" s="62" t="s">
        <v>397</v>
      </c>
      <c r="M15" s="576"/>
      <c r="N15" s="578"/>
      <c r="O15" s="580"/>
      <c r="P15" s="566"/>
      <c r="Q15" s="582"/>
      <c r="R15" s="562"/>
      <c r="S15" s="576"/>
      <c r="T15" s="578"/>
      <c r="U15" s="562"/>
      <c r="V15" s="586"/>
      <c r="W15" s="588"/>
      <c r="X15" s="562"/>
      <c r="Y15" s="576"/>
      <c r="Z15" s="578"/>
      <c r="AA15" s="562"/>
      <c r="AB15" s="586"/>
      <c r="AC15" s="562"/>
      <c r="AD15" s="584"/>
      <c r="AE15" s="2"/>
      <c r="AF15" s="2"/>
      <c r="AG15" s="2"/>
      <c r="AH15" s="2"/>
      <c r="AI15" s="2"/>
      <c r="AJ15" s="2"/>
    </row>
    <row r="16" spans="1:36" s="4" customFormat="1" x14ac:dyDescent="0.2">
      <c r="A16" s="127" t="s">
        <v>398</v>
      </c>
      <c r="B16" s="589" t="s">
        <v>399</v>
      </c>
      <c r="C16" s="592" t="s">
        <v>400</v>
      </c>
      <c r="D16" s="128" t="s">
        <v>401</v>
      </c>
      <c r="E16" s="129"/>
      <c r="F16" s="130"/>
      <c r="G16" s="67"/>
      <c r="H16" s="68">
        <v>4</v>
      </c>
      <c r="I16" s="131"/>
      <c r="J16" s="70">
        <v>6</v>
      </c>
      <c r="K16" s="132"/>
      <c r="L16" s="72">
        <v>5</v>
      </c>
      <c r="M16" s="133">
        <f>IF(H16+J16=0," ",H16*J16)</f>
        <v>24</v>
      </c>
      <c r="N16" s="134">
        <f>IF(H16+J16+L16=0,"-",H16*J16*L16)</f>
        <v>120</v>
      </c>
      <c r="O16" s="135"/>
      <c r="P16" s="65"/>
      <c r="Q16" s="136"/>
      <c r="R16" s="137">
        <v>4</v>
      </c>
      <c r="S16" s="138">
        <v>2</v>
      </c>
      <c r="T16" s="139">
        <v>1</v>
      </c>
      <c r="U16" s="140">
        <f>IF(R16+S16=0," ",R16*S16)</f>
        <v>8</v>
      </c>
      <c r="V16" s="134">
        <f>IF(R16+S16+T16=0,"-",R16*S16*T16)</f>
        <v>8</v>
      </c>
      <c r="W16" s="141"/>
      <c r="X16" s="137">
        <v>4</v>
      </c>
      <c r="Y16" s="138">
        <v>2</v>
      </c>
      <c r="Z16" s="139">
        <v>1</v>
      </c>
      <c r="AA16" s="140">
        <f>IF(X16+Y16=0," ",X16*Y16)</f>
        <v>8</v>
      </c>
      <c r="AB16" s="134">
        <f>IF(X16+Y16+Z16=0,"-",X16*Y16*Z16)</f>
        <v>8</v>
      </c>
      <c r="AC16" s="142" t="str">
        <f>IF(AB16="-",AD16,IF(AB16&gt;$AE$4,"Very High",IF(AB16&gt;$AE$3,"High",IF(AB16&gt;$AE$2,"Medium",IF(AB16&gt;0,"Low","")))))</f>
        <v>Low</v>
      </c>
      <c r="AD16" s="134" t="str">
        <f>IF(N16="-","-",IF(N16&gt;$AE$4,"Very High",IF(N16&gt;$AE$3,"High",IF(N16&gt;$AE$2,"Medium",IF(N16&gt;0,"Low","")))))</f>
        <v>Low</v>
      </c>
      <c r="AE16" s="2"/>
      <c r="AF16" s="2"/>
      <c r="AG16" s="2"/>
      <c r="AH16" s="2"/>
      <c r="AI16" s="2"/>
      <c r="AJ16" s="2"/>
    </row>
    <row r="17" spans="1:38" s="4" customFormat="1" x14ac:dyDescent="0.2">
      <c r="A17" s="63" t="s">
        <v>402</v>
      </c>
      <c r="B17" s="590"/>
      <c r="C17" s="593"/>
      <c r="D17" s="143" t="s">
        <v>403</v>
      </c>
      <c r="E17" s="89"/>
      <c r="F17" s="66"/>
      <c r="G17" s="84"/>
      <c r="H17" s="68">
        <v>1</v>
      </c>
      <c r="I17" s="82"/>
      <c r="J17" s="70">
        <v>1</v>
      </c>
      <c r="K17" s="83"/>
      <c r="L17" s="72">
        <v>1</v>
      </c>
      <c r="M17" s="73">
        <f>IF(H17+J17=0," ",H17*J17)</f>
        <v>1</v>
      </c>
      <c r="N17" s="74">
        <f t="shared" ref="N17:N42" si="0">IF(H17+J17+L17=0,"-",H17*J17*L17)</f>
        <v>1</v>
      </c>
      <c r="O17" s="85"/>
      <c r="P17" s="86"/>
      <c r="Q17" s="144"/>
      <c r="R17" s="75">
        <v>1</v>
      </c>
      <c r="S17" s="76">
        <v>1</v>
      </c>
      <c r="T17" s="77">
        <v>1</v>
      </c>
      <c r="U17" s="78">
        <f t="shared" ref="U17:U42" si="1">IF(R17+S17=0," ",R17*S17)</f>
        <v>1</v>
      </c>
      <c r="V17" s="74">
        <f t="shared" ref="V17:V42" si="2">IF(R17+S17+T17=0,"-",R17*S17*T17)</f>
        <v>1</v>
      </c>
      <c r="W17" s="79"/>
      <c r="X17" s="75">
        <v>1</v>
      </c>
      <c r="Y17" s="76">
        <v>1</v>
      </c>
      <c r="Z17" s="77">
        <v>1</v>
      </c>
      <c r="AA17" s="78">
        <f t="shared" ref="AA17:AA42" si="3">IF(X17+Y17=0," ",X17*Y17)</f>
        <v>1</v>
      </c>
      <c r="AB17" s="74">
        <f t="shared" ref="AB17:AB42" si="4">IF(X17+Y17+Z17=0,"-",X17*Y17*Z17)</f>
        <v>1</v>
      </c>
      <c r="AC17" s="80" t="str">
        <f t="shared" ref="AC17:AC42" si="5">IF(AB17="-",AD17,IF(AB17&gt;$AE$4,"Very High",IF(AB17&gt;$AE$3,"High",IF(AB17&gt;$AE$2,"Medium",IF(AB17&gt;0,"Low","")))))</f>
        <v>Low</v>
      </c>
      <c r="AD17" s="74" t="str">
        <f t="shared" ref="AD17:AD42" si="6">IF(N17="-","-",IF(N17&gt;$AE$4,"Very High",IF(N17&gt;$AE$3,"High",IF(N17&gt;$AE$2,"Medium",IF(N17&gt;0,"Low","")))))</f>
        <v>Low</v>
      </c>
      <c r="AE17" s="2"/>
      <c r="AF17" s="2"/>
      <c r="AG17" s="2"/>
      <c r="AH17" s="2"/>
      <c r="AI17" s="2"/>
      <c r="AJ17" s="2"/>
    </row>
    <row r="18" spans="1:38" s="4" customFormat="1" x14ac:dyDescent="0.2">
      <c r="A18" s="63" t="s">
        <v>404</v>
      </c>
      <c r="B18" s="590"/>
      <c r="C18" s="594"/>
      <c r="D18" s="143" t="s">
        <v>405</v>
      </c>
      <c r="E18" s="89"/>
      <c r="F18" s="66"/>
      <c r="G18" s="84"/>
      <c r="H18" s="68">
        <v>5</v>
      </c>
      <c r="I18" s="145"/>
      <c r="J18" s="70">
        <v>5</v>
      </c>
      <c r="K18" s="83"/>
      <c r="L18" s="72">
        <v>10</v>
      </c>
      <c r="M18" s="73">
        <f t="shared" ref="M18:M41" si="7">IF(H18+J18=0," ",H18*J18)</f>
        <v>25</v>
      </c>
      <c r="N18" s="74">
        <f t="shared" si="0"/>
        <v>250</v>
      </c>
      <c r="O18" s="85"/>
      <c r="P18" s="86"/>
      <c r="Q18" s="144"/>
      <c r="R18" s="75">
        <v>5</v>
      </c>
      <c r="S18" s="76">
        <v>5</v>
      </c>
      <c r="T18" s="77">
        <v>2</v>
      </c>
      <c r="U18" s="78">
        <f t="shared" si="1"/>
        <v>25</v>
      </c>
      <c r="V18" s="74">
        <f t="shared" si="2"/>
        <v>50</v>
      </c>
      <c r="W18" s="79"/>
      <c r="X18" s="75">
        <v>5</v>
      </c>
      <c r="Y18" s="76">
        <v>5</v>
      </c>
      <c r="Z18" s="77">
        <v>2</v>
      </c>
      <c r="AA18" s="78">
        <f t="shared" si="3"/>
        <v>25</v>
      </c>
      <c r="AB18" s="74">
        <f t="shared" si="4"/>
        <v>50</v>
      </c>
      <c r="AC18" s="80" t="str">
        <f t="shared" si="5"/>
        <v>Low</v>
      </c>
      <c r="AD18" s="74" t="str">
        <f t="shared" si="6"/>
        <v>Medium</v>
      </c>
      <c r="AG18" s="2"/>
      <c r="AH18" s="2"/>
      <c r="AI18" s="2"/>
      <c r="AL18" s="81"/>
    </row>
    <row r="19" spans="1:38" s="4" customFormat="1" x14ac:dyDescent="0.2">
      <c r="A19" s="63" t="s">
        <v>406</v>
      </c>
      <c r="B19" s="590"/>
      <c r="C19" s="73" t="s">
        <v>407</v>
      </c>
      <c r="D19" s="143" t="s">
        <v>401</v>
      </c>
      <c r="E19" s="89"/>
      <c r="F19" s="66"/>
      <c r="G19" s="84"/>
      <c r="H19" s="68">
        <v>7</v>
      </c>
      <c r="I19" s="82"/>
      <c r="J19" s="70">
        <v>8</v>
      </c>
      <c r="K19" s="71"/>
      <c r="L19" s="72">
        <v>10</v>
      </c>
      <c r="M19" s="73">
        <f t="shared" si="7"/>
        <v>56</v>
      </c>
      <c r="N19" s="74">
        <f t="shared" si="0"/>
        <v>560</v>
      </c>
      <c r="O19" s="64"/>
      <c r="P19" s="86"/>
      <c r="Q19" s="86"/>
      <c r="R19" s="75">
        <v>7</v>
      </c>
      <c r="S19" s="76">
        <v>8</v>
      </c>
      <c r="T19" s="77">
        <v>6</v>
      </c>
      <c r="U19" s="78">
        <f t="shared" si="1"/>
        <v>56</v>
      </c>
      <c r="V19" s="74">
        <f t="shared" si="2"/>
        <v>336</v>
      </c>
      <c r="W19" s="87"/>
      <c r="X19" s="75">
        <v>7</v>
      </c>
      <c r="Y19" s="76">
        <v>8</v>
      </c>
      <c r="Z19" s="77">
        <v>2</v>
      </c>
      <c r="AA19" s="78">
        <f t="shared" si="3"/>
        <v>56</v>
      </c>
      <c r="AB19" s="74">
        <f t="shared" si="4"/>
        <v>112</v>
      </c>
      <c r="AC19" s="80" t="str">
        <f t="shared" si="5"/>
        <v>Low</v>
      </c>
      <c r="AD19" s="74" t="str">
        <f t="shared" si="6"/>
        <v>High</v>
      </c>
      <c r="AG19" s="2"/>
      <c r="AH19" s="2"/>
      <c r="AI19" s="2"/>
    </row>
    <row r="20" spans="1:38" s="4" customFormat="1" x14ac:dyDescent="0.2">
      <c r="A20" s="63" t="s">
        <v>408</v>
      </c>
      <c r="B20" s="590"/>
      <c r="C20" s="595" t="s">
        <v>409</v>
      </c>
      <c r="D20" s="143" t="s">
        <v>401</v>
      </c>
      <c r="E20" s="89"/>
      <c r="F20" s="66"/>
      <c r="G20" s="84"/>
      <c r="H20" s="68"/>
      <c r="I20" s="69"/>
      <c r="J20" s="70"/>
      <c r="K20" s="83"/>
      <c r="L20" s="72"/>
      <c r="M20" s="73" t="str">
        <f t="shared" si="7"/>
        <v xml:space="preserve"> </v>
      </c>
      <c r="N20" s="74" t="str">
        <f t="shared" si="0"/>
        <v>-</v>
      </c>
      <c r="O20" s="64"/>
      <c r="P20" s="86"/>
      <c r="Q20" s="144"/>
      <c r="R20" s="75"/>
      <c r="S20" s="76"/>
      <c r="T20" s="77"/>
      <c r="U20" s="78" t="str">
        <f t="shared" si="1"/>
        <v xml:space="preserve"> </v>
      </c>
      <c r="V20" s="74" t="str">
        <f t="shared" si="2"/>
        <v>-</v>
      </c>
      <c r="W20" s="87"/>
      <c r="X20" s="75"/>
      <c r="Y20" s="76"/>
      <c r="Z20" s="77"/>
      <c r="AA20" s="78" t="str">
        <f t="shared" si="3"/>
        <v xml:space="preserve"> </v>
      </c>
      <c r="AB20" s="74" t="str">
        <f t="shared" si="4"/>
        <v>-</v>
      </c>
      <c r="AC20" s="80" t="str">
        <f t="shared" si="5"/>
        <v>-</v>
      </c>
      <c r="AD20" s="74" t="str">
        <f t="shared" si="6"/>
        <v>-</v>
      </c>
      <c r="AG20" s="2"/>
      <c r="AH20" s="2"/>
      <c r="AI20" s="2"/>
      <c r="AL20" s="81"/>
    </row>
    <row r="21" spans="1:38" s="4" customFormat="1" ht="13.5" thickBot="1" x14ac:dyDescent="0.25">
      <c r="A21" s="63" t="s">
        <v>410</v>
      </c>
      <c r="B21" s="591"/>
      <c r="C21" s="594"/>
      <c r="D21" s="143" t="s">
        <v>403</v>
      </c>
      <c r="E21" s="89"/>
      <c r="F21" s="66"/>
      <c r="G21" s="84"/>
      <c r="H21" s="68"/>
      <c r="I21" s="69"/>
      <c r="J21" s="70"/>
      <c r="K21" s="83"/>
      <c r="L21" s="72"/>
      <c r="M21" s="73" t="str">
        <f t="shared" si="7"/>
        <v xml:space="preserve"> </v>
      </c>
      <c r="N21" s="74" t="str">
        <f t="shared" si="0"/>
        <v>-</v>
      </c>
      <c r="O21" s="64"/>
      <c r="P21" s="86"/>
      <c r="Q21" s="144"/>
      <c r="R21" s="75"/>
      <c r="S21" s="76"/>
      <c r="T21" s="77"/>
      <c r="U21" s="78" t="str">
        <f t="shared" si="1"/>
        <v xml:space="preserve"> </v>
      </c>
      <c r="V21" s="74" t="str">
        <f t="shared" si="2"/>
        <v>-</v>
      </c>
      <c r="W21" s="87"/>
      <c r="X21" s="75"/>
      <c r="Y21" s="76"/>
      <c r="Z21" s="77"/>
      <c r="AA21" s="78" t="str">
        <f t="shared" si="3"/>
        <v xml:space="preserve"> </v>
      </c>
      <c r="AB21" s="74" t="str">
        <f t="shared" si="4"/>
        <v>-</v>
      </c>
      <c r="AC21" s="80" t="str">
        <f t="shared" si="5"/>
        <v>-</v>
      </c>
      <c r="AD21" s="74" t="str">
        <f t="shared" si="6"/>
        <v>-</v>
      </c>
      <c r="AG21" s="2"/>
      <c r="AH21" s="2"/>
      <c r="AI21" s="2"/>
      <c r="AL21" s="81"/>
    </row>
    <row r="22" spans="1:38" s="4" customFormat="1" x14ac:dyDescent="0.2">
      <c r="A22" s="63" t="s">
        <v>411</v>
      </c>
      <c r="B22" s="589" t="s">
        <v>412</v>
      </c>
      <c r="C22" s="592" t="s">
        <v>400</v>
      </c>
      <c r="D22" s="128" t="s">
        <v>401</v>
      </c>
      <c r="E22" s="89"/>
      <c r="F22" s="66"/>
      <c r="G22" s="67"/>
      <c r="H22" s="68"/>
      <c r="I22" s="69"/>
      <c r="J22" s="70"/>
      <c r="K22" s="83"/>
      <c r="L22" s="72"/>
      <c r="M22" s="73" t="str">
        <f t="shared" si="7"/>
        <v xml:space="preserve"> </v>
      </c>
      <c r="N22" s="74" t="str">
        <f t="shared" si="0"/>
        <v>-</v>
      </c>
      <c r="O22" s="64"/>
      <c r="P22" s="86"/>
      <c r="Q22" s="144"/>
      <c r="R22" s="75"/>
      <c r="S22" s="76"/>
      <c r="T22" s="77"/>
      <c r="U22" s="78" t="str">
        <f t="shared" si="1"/>
        <v xml:space="preserve"> </v>
      </c>
      <c r="V22" s="74" t="str">
        <f t="shared" si="2"/>
        <v>-</v>
      </c>
      <c r="W22" s="87"/>
      <c r="X22" s="75"/>
      <c r="Y22" s="76"/>
      <c r="Z22" s="77"/>
      <c r="AA22" s="78" t="str">
        <f t="shared" si="3"/>
        <v xml:space="preserve"> </v>
      </c>
      <c r="AB22" s="74" t="str">
        <f t="shared" si="4"/>
        <v>-</v>
      </c>
      <c r="AC22" s="80" t="str">
        <f t="shared" si="5"/>
        <v>-</v>
      </c>
      <c r="AD22" s="74" t="str">
        <f t="shared" si="6"/>
        <v>-</v>
      </c>
      <c r="AG22" s="2"/>
      <c r="AH22" s="2"/>
      <c r="AI22" s="2"/>
      <c r="AL22" s="81"/>
    </row>
    <row r="23" spans="1:38" s="4" customFormat="1" x14ac:dyDescent="0.2">
      <c r="A23" s="63" t="s">
        <v>413</v>
      </c>
      <c r="B23" s="590"/>
      <c r="C23" s="593"/>
      <c r="D23" s="143" t="s">
        <v>403</v>
      </c>
      <c r="E23" s="89"/>
      <c r="F23" s="66"/>
      <c r="G23" s="67"/>
      <c r="H23" s="68"/>
      <c r="I23" s="69"/>
      <c r="J23" s="70"/>
      <c r="K23" s="83"/>
      <c r="L23" s="72"/>
      <c r="M23" s="73" t="str">
        <f t="shared" si="7"/>
        <v xml:space="preserve"> </v>
      </c>
      <c r="N23" s="74" t="str">
        <f t="shared" si="0"/>
        <v>-</v>
      </c>
      <c r="O23" s="64"/>
      <c r="P23" s="86"/>
      <c r="Q23" s="144"/>
      <c r="R23" s="75"/>
      <c r="S23" s="76"/>
      <c r="T23" s="77"/>
      <c r="U23" s="78" t="str">
        <f t="shared" si="1"/>
        <v xml:space="preserve"> </v>
      </c>
      <c r="V23" s="74" t="str">
        <f t="shared" si="2"/>
        <v>-</v>
      </c>
      <c r="W23" s="87"/>
      <c r="X23" s="75"/>
      <c r="Y23" s="76"/>
      <c r="Z23" s="77"/>
      <c r="AA23" s="78" t="str">
        <f t="shared" si="3"/>
        <v xml:space="preserve"> </v>
      </c>
      <c r="AB23" s="74" t="str">
        <f t="shared" si="4"/>
        <v>-</v>
      </c>
      <c r="AC23" s="80" t="str">
        <f t="shared" si="5"/>
        <v>-</v>
      </c>
      <c r="AD23" s="74" t="str">
        <f t="shared" si="6"/>
        <v>-</v>
      </c>
      <c r="AG23" s="2"/>
      <c r="AH23" s="2"/>
      <c r="AI23" s="2"/>
      <c r="AL23" s="81"/>
    </row>
    <row r="24" spans="1:38" s="4" customFormat="1" x14ac:dyDescent="0.2">
      <c r="A24" s="63" t="s">
        <v>414</v>
      </c>
      <c r="B24" s="590"/>
      <c r="C24" s="594"/>
      <c r="D24" s="143" t="s">
        <v>405</v>
      </c>
      <c r="E24" s="89"/>
      <c r="F24" s="66"/>
      <c r="G24" s="67"/>
      <c r="H24" s="68"/>
      <c r="I24" s="69"/>
      <c r="J24" s="70"/>
      <c r="K24" s="83"/>
      <c r="L24" s="72"/>
      <c r="M24" s="73" t="str">
        <f t="shared" si="7"/>
        <v xml:space="preserve"> </v>
      </c>
      <c r="N24" s="74" t="str">
        <f t="shared" si="0"/>
        <v>-</v>
      </c>
      <c r="O24" s="64"/>
      <c r="P24" s="86"/>
      <c r="Q24" s="144"/>
      <c r="R24" s="75"/>
      <c r="S24" s="76"/>
      <c r="T24" s="77"/>
      <c r="U24" s="78" t="str">
        <f t="shared" si="1"/>
        <v xml:space="preserve"> </v>
      </c>
      <c r="V24" s="74" t="str">
        <f t="shared" si="2"/>
        <v>-</v>
      </c>
      <c r="W24" s="87"/>
      <c r="X24" s="75"/>
      <c r="Y24" s="76"/>
      <c r="Z24" s="77"/>
      <c r="AA24" s="78" t="str">
        <f t="shared" si="3"/>
        <v xml:space="preserve"> </v>
      </c>
      <c r="AB24" s="74" t="str">
        <f t="shared" si="4"/>
        <v>-</v>
      </c>
      <c r="AC24" s="80" t="str">
        <f t="shared" si="5"/>
        <v>-</v>
      </c>
      <c r="AD24" s="74" t="str">
        <f t="shared" si="6"/>
        <v>-</v>
      </c>
      <c r="AG24" s="2"/>
      <c r="AH24" s="2"/>
      <c r="AI24" s="2"/>
      <c r="AL24" s="81"/>
    </row>
    <row r="25" spans="1:38" s="4" customFormat="1" x14ac:dyDescent="0.2">
      <c r="A25" s="63" t="s">
        <v>415</v>
      </c>
      <c r="B25" s="590"/>
      <c r="C25" s="73" t="s">
        <v>407</v>
      </c>
      <c r="D25" s="143" t="s">
        <v>401</v>
      </c>
      <c r="E25" s="89"/>
      <c r="F25" s="66"/>
      <c r="G25" s="67"/>
      <c r="H25" s="68"/>
      <c r="I25" s="69"/>
      <c r="J25" s="70"/>
      <c r="K25" s="83"/>
      <c r="L25" s="72"/>
      <c r="M25" s="73" t="str">
        <f t="shared" si="7"/>
        <v xml:space="preserve"> </v>
      </c>
      <c r="N25" s="74" t="str">
        <f t="shared" si="0"/>
        <v>-</v>
      </c>
      <c r="O25" s="64"/>
      <c r="P25" s="86"/>
      <c r="Q25" s="86"/>
      <c r="R25" s="75"/>
      <c r="S25" s="76"/>
      <c r="T25" s="77"/>
      <c r="U25" s="78" t="str">
        <f t="shared" si="1"/>
        <v xml:space="preserve"> </v>
      </c>
      <c r="V25" s="74" t="str">
        <f t="shared" si="2"/>
        <v>-</v>
      </c>
      <c r="W25" s="87"/>
      <c r="X25" s="75"/>
      <c r="Y25" s="76"/>
      <c r="Z25" s="77"/>
      <c r="AA25" s="78" t="str">
        <f t="shared" si="3"/>
        <v xml:space="preserve"> </v>
      </c>
      <c r="AB25" s="74" t="str">
        <f t="shared" si="4"/>
        <v>-</v>
      </c>
      <c r="AC25" s="80" t="str">
        <f t="shared" si="5"/>
        <v>-</v>
      </c>
      <c r="AD25" s="74" t="str">
        <f t="shared" si="6"/>
        <v>-</v>
      </c>
      <c r="AG25" s="2"/>
      <c r="AH25" s="2"/>
      <c r="AI25" s="2"/>
      <c r="AL25" s="81"/>
    </row>
    <row r="26" spans="1:38" s="4" customFormat="1" x14ac:dyDescent="0.2">
      <c r="A26" s="63" t="s">
        <v>416</v>
      </c>
      <c r="B26" s="590"/>
      <c r="C26" s="595" t="s">
        <v>409</v>
      </c>
      <c r="D26" s="143" t="s">
        <v>401</v>
      </c>
      <c r="E26" s="89"/>
      <c r="F26" s="66"/>
      <c r="G26" s="67"/>
      <c r="H26" s="68"/>
      <c r="I26" s="69"/>
      <c r="J26" s="70"/>
      <c r="K26" s="83"/>
      <c r="L26" s="72"/>
      <c r="M26" s="73" t="str">
        <f t="shared" si="7"/>
        <v xml:space="preserve"> </v>
      </c>
      <c r="N26" s="74" t="str">
        <f t="shared" si="0"/>
        <v>-</v>
      </c>
      <c r="O26" s="64"/>
      <c r="P26" s="86"/>
      <c r="Q26" s="86"/>
      <c r="R26" s="75"/>
      <c r="S26" s="76"/>
      <c r="T26" s="77"/>
      <c r="U26" s="78" t="str">
        <f t="shared" si="1"/>
        <v xml:space="preserve"> </v>
      </c>
      <c r="V26" s="74" t="str">
        <f t="shared" si="2"/>
        <v>-</v>
      </c>
      <c r="W26" s="87"/>
      <c r="X26" s="75"/>
      <c r="Y26" s="76"/>
      <c r="Z26" s="77"/>
      <c r="AA26" s="78" t="str">
        <f t="shared" si="3"/>
        <v xml:space="preserve"> </v>
      </c>
      <c r="AB26" s="74" t="str">
        <f t="shared" si="4"/>
        <v>-</v>
      </c>
      <c r="AC26" s="80" t="str">
        <f t="shared" si="5"/>
        <v>-</v>
      </c>
      <c r="AD26" s="74" t="str">
        <f t="shared" si="6"/>
        <v>-</v>
      </c>
      <c r="AG26" s="2"/>
      <c r="AH26" s="2"/>
      <c r="AI26" s="2"/>
      <c r="AL26" s="81"/>
    </row>
    <row r="27" spans="1:38" s="4" customFormat="1" x14ac:dyDescent="0.25">
      <c r="A27" s="63" t="s">
        <v>417</v>
      </c>
      <c r="B27" s="591"/>
      <c r="C27" s="594"/>
      <c r="D27" s="143" t="s">
        <v>403</v>
      </c>
      <c r="E27" s="89"/>
      <c r="F27" s="66"/>
      <c r="G27" s="67"/>
      <c r="H27" s="68"/>
      <c r="I27" s="69"/>
      <c r="J27" s="70"/>
      <c r="K27" s="83"/>
      <c r="L27" s="72"/>
      <c r="M27" s="73" t="str">
        <f t="shared" si="7"/>
        <v xml:space="preserve"> </v>
      </c>
      <c r="N27" s="74" t="str">
        <f t="shared" si="0"/>
        <v>-</v>
      </c>
      <c r="O27" s="64"/>
      <c r="P27" s="86"/>
      <c r="Q27" s="86"/>
      <c r="R27" s="75"/>
      <c r="S27" s="76"/>
      <c r="T27" s="77"/>
      <c r="U27" s="78" t="str">
        <f t="shared" si="1"/>
        <v xml:space="preserve"> </v>
      </c>
      <c r="V27" s="74" t="str">
        <f t="shared" si="2"/>
        <v>-</v>
      </c>
      <c r="W27" s="87"/>
      <c r="X27" s="75"/>
      <c r="Y27" s="76"/>
      <c r="Z27" s="77"/>
      <c r="AA27" s="78" t="str">
        <f t="shared" si="3"/>
        <v xml:space="preserve"> </v>
      </c>
      <c r="AB27" s="74" t="str">
        <f t="shared" si="4"/>
        <v>-</v>
      </c>
      <c r="AC27" s="80" t="str">
        <f t="shared" si="5"/>
        <v>-</v>
      </c>
      <c r="AD27" s="74" t="str">
        <f t="shared" si="6"/>
        <v>-</v>
      </c>
      <c r="AL27" s="81"/>
    </row>
    <row r="28" spans="1:38" s="4" customFormat="1" x14ac:dyDescent="0.25">
      <c r="A28" s="63" t="s">
        <v>418</v>
      </c>
      <c r="B28" s="146"/>
      <c r="C28" s="64"/>
      <c r="D28" s="88"/>
      <c r="E28" s="89"/>
      <c r="F28" s="66"/>
      <c r="G28" s="67"/>
      <c r="H28" s="68"/>
      <c r="I28" s="69"/>
      <c r="J28" s="70"/>
      <c r="K28" s="83"/>
      <c r="L28" s="72"/>
      <c r="M28" s="73" t="str">
        <f t="shared" si="7"/>
        <v xml:space="preserve"> </v>
      </c>
      <c r="N28" s="74" t="str">
        <f t="shared" si="0"/>
        <v>-</v>
      </c>
      <c r="O28" s="64"/>
      <c r="P28" s="86"/>
      <c r="Q28" s="86"/>
      <c r="R28" s="75"/>
      <c r="S28" s="76"/>
      <c r="T28" s="77"/>
      <c r="U28" s="78" t="str">
        <f t="shared" si="1"/>
        <v xml:space="preserve"> </v>
      </c>
      <c r="V28" s="74" t="str">
        <f t="shared" si="2"/>
        <v>-</v>
      </c>
      <c r="W28" s="87"/>
      <c r="X28" s="75"/>
      <c r="Y28" s="76"/>
      <c r="Z28" s="77"/>
      <c r="AA28" s="78" t="str">
        <f t="shared" si="3"/>
        <v xml:space="preserve"> </v>
      </c>
      <c r="AB28" s="74" t="str">
        <f t="shared" si="4"/>
        <v>-</v>
      </c>
      <c r="AC28" s="80" t="str">
        <f t="shared" si="5"/>
        <v>-</v>
      </c>
      <c r="AD28" s="74" t="str">
        <f t="shared" si="6"/>
        <v>-</v>
      </c>
      <c r="AL28" s="81"/>
    </row>
    <row r="29" spans="1:38" s="4" customFormat="1" x14ac:dyDescent="0.25">
      <c r="A29" s="63" t="s">
        <v>419</v>
      </c>
      <c r="B29" s="146"/>
      <c r="C29" s="64"/>
      <c r="D29" s="88"/>
      <c r="E29" s="89"/>
      <c r="F29" s="66"/>
      <c r="G29" s="67"/>
      <c r="H29" s="68"/>
      <c r="I29" s="69"/>
      <c r="J29" s="70"/>
      <c r="K29" s="83"/>
      <c r="L29" s="72"/>
      <c r="M29" s="73" t="str">
        <f t="shared" si="7"/>
        <v xml:space="preserve"> </v>
      </c>
      <c r="N29" s="74" t="str">
        <f t="shared" si="0"/>
        <v>-</v>
      </c>
      <c r="O29" s="64"/>
      <c r="P29" s="86"/>
      <c r="Q29" s="86"/>
      <c r="R29" s="75"/>
      <c r="S29" s="76"/>
      <c r="T29" s="77"/>
      <c r="U29" s="78" t="str">
        <f t="shared" si="1"/>
        <v xml:space="preserve"> </v>
      </c>
      <c r="V29" s="74" t="str">
        <f t="shared" si="2"/>
        <v>-</v>
      </c>
      <c r="W29" s="87"/>
      <c r="X29" s="75"/>
      <c r="Y29" s="76"/>
      <c r="Z29" s="77"/>
      <c r="AA29" s="78" t="str">
        <f t="shared" si="3"/>
        <v xml:space="preserve"> </v>
      </c>
      <c r="AB29" s="74" t="str">
        <f t="shared" si="4"/>
        <v>-</v>
      </c>
      <c r="AC29" s="80" t="str">
        <f t="shared" si="5"/>
        <v>-</v>
      </c>
      <c r="AD29" s="74" t="str">
        <f t="shared" si="6"/>
        <v>-</v>
      </c>
      <c r="AL29" s="81"/>
    </row>
    <row r="30" spans="1:38" s="4" customFormat="1" x14ac:dyDescent="0.25">
      <c r="A30" s="63" t="s">
        <v>420</v>
      </c>
      <c r="B30" s="146"/>
      <c r="C30" s="64"/>
      <c r="D30" s="88"/>
      <c r="E30" s="89"/>
      <c r="F30" s="66"/>
      <c r="G30" s="67"/>
      <c r="H30" s="68"/>
      <c r="I30" s="69"/>
      <c r="J30" s="70"/>
      <c r="K30" s="83"/>
      <c r="L30" s="72"/>
      <c r="M30" s="73" t="str">
        <f t="shared" si="7"/>
        <v xml:space="preserve"> </v>
      </c>
      <c r="N30" s="74" t="str">
        <f t="shared" si="0"/>
        <v>-</v>
      </c>
      <c r="O30" s="64"/>
      <c r="P30" s="86"/>
      <c r="Q30" s="86"/>
      <c r="R30" s="75"/>
      <c r="S30" s="76"/>
      <c r="T30" s="77"/>
      <c r="U30" s="78" t="str">
        <f t="shared" si="1"/>
        <v xml:space="preserve"> </v>
      </c>
      <c r="V30" s="74" t="str">
        <f t="shared" si="2"/>
        <v>-</v>
      </c>
      <c r="W30" s="87"/>
      <c r="X30" s="75"/>
      <c r="Y30" s="76"/>
      <c r="Z30" s="77"/>
      <c r="AA30" s="78" t="str">
        <f t="shared" si="3"/>
        <v xml:space="preserve"> </v>
      </c>
      <c r="AB30" s="74" t="str">
        <f t="shared" si="4"/>
        <v>-</v>
      </c>
      <c r="AC30" s="80" t="str">
        <f t="shared" si="5"/>
        <v>-</v>
      </c>
      <c r="AD30" s="74" t="str">
        <f t="shared" si="6"/>
        <v>-</v>
      </c>
      <c r="AL30" s="81"/>
    </row>
    <row r="31" spans="1:38" s="4" customFormat="1" x14ac:dyDescent="0.25">
      <c r="A31" s="63" t="s">
        <v>421</v>
      </c>
      <c r="B31" s="146"/>
      <c r="C31" s="64"/>
      <c r="D31" s="88"/>
      <c r="E31" s="89"/>
      <c r="F31" s="66"/>
      <c r="G31" s="67"/>
      <c r="H31" s="68"/>
      <c r="I31" s="69"/>
      <c r="J31" s="70"/>
      <c r="K31" s="83"/>
      <c r="L31" s="72"/>
      <c r="M31" s="73" t="str">
        <f t="shared" si="7"/>
        <v xml:space="preserve"> </v>
      </c>
      <c r="N31" s="74" t="str">
        <f t="shared" si="0"/>
        <v>-</v>
      </c>
      <c r="O31" s="64"/>
      <c r="P31" s="86"/>
      <c r="Q31" s="86"/>
      <c r="R31" s="75"/>
      <c r="S31" s="76"/>
      <c r="T31" s="77"/>
      <c r="U31" s="78" t="str">
        <f t="shared" si="1"/>
        <v xml:space="preserve"> </v>
      </c>
      <c r="V31" s="74" t="str">
        <f t="shared" si="2"/>
        <v>-</v>
      </c>
      <c r="W31" s="87"/>
      <c r="X31" s="75"/>
      <c r="Y31" s="76"/>
      <c r="Z31" s="77"/>
      <c r="AA31" s="78" t="str">
        <f t="shared" si="3"/>
        <v xml:space="preserve"> </v>
      </c>
      <c r="AB31" s="74" t="str">
        <f t="shared" si="4"/>
        <v>-</v>
      </c>
      <c r="AC31" s="80" t="str">
        <f t="shared" si="5"/>
        <v>-</v>
      </c>
      <c r="AD31" s="74" t="str">
        <f t="shared" si="6"/>
        <v>-</v>
      </c>
      <c r="AL31" s="81"/>
    </row>
    <row r="32" spans="1:38" s="4" customFormat="1" x14ac:dyDescent="0.25">
      <c r="A32" s="63" t="s">
        <v>422</v>
      </c>
      <c r="B32" s="146"/>
      <c r="C32" s="64"/>
      <c r="D32" s="88"/>
      <c r="E32" s="89"/>
      <c r="F32" s="66"/>
      <c r="G32" s="67"/>
      <c r="H32" s="68"/>
      <c r="I32" s="69"/>
      <c r="J32" s="70"/>
      <c r="K32" s="83"/>
      <c r="L32" s="72"/>
      <c r="M32" s="73" t="str">
        <f t="shared" si="7"/>
        <v xml:space="preserve"> </v>
      </c>
      <c r="N32" s="74" t="str">
        <f t="shared" si="0"/>
        <v>-</v>
      </c>
      <c r="O32" s="64"/>
      <c r="P32" s="86"/>
      <c r="Q32" s="86"/>
      <c r="R32" s="75"/>
      <c r="S32" s="76"/>
      <c r="T32" s="77"/>
      <c r="U32" s="78" t="str">
        <f t="shared" si="1"/>
        <v xml:space="preserve"> </v>
      </c>
      <c r="V32" s="74" t="str">
        <f t="shared" si="2"/>
        <v>-</v>
      </c>
      <c r="W32" s="87"/>
      <c r="X32" s="75"/>
      <c r="Y32" s="76"/>
      <c r="Z32" s="77"/>
      <c r="AA32" s="78" t="str">
        <f t="shared" si="3"/>
        <v xml:space="preserve"> </v>
      </c>
      <c r="AB32" s="74" t="str">
        <f t="shared" si="4"/>
        <v>-</v>
      </c>
      <c r="AC32" s="80" t="str">
        <f t="shared" si="5"/>
        <v>-</v>
      </c>
      <c r="AD32" s="74" t="str">
        <f t="shared" si="6"/>
        <v>-</v>
      </c>
      <c r="AL32" s="81"/>
    </row>
    <row r="33" spans="1:38" s="4" customFormat="1" x14ac:dyDescent="0.25">
      <c r="A33" s="63" t="s">
        <v>423</v>
      </c>
      <c r="B33" s="146"/>
      <c r="C33" s="64"/>
      <c r="D33" s="88"/>
      <c r="E33" s="89"/>
      <c r="F33" s="66"/>
      <c r="G33" s="67"/>
      <c r="H33" s="68"/>
      <c r="I33" s="69"/>
      <c r="J33" s="70"/>
      <c r="K33" s="83"/>
      <c r="L33" s="72"/>
      <c r="M33" s="73" t="str">
        <f t="shared" si="7"/>
        <v xml:space="preserve"> </v>
      </c>
      <c r="N33" s="74" t="str">
        <f t="shared" si="0"/>
        <v>-</v>
      </c>
      <c r="O33" s="64"/>
      <c r="P33" s="86"/>
      <c r="Q33" s="86"/>
      <c r="R33" s="75"/>
      <c r="S33" s="76"/>
      <c r="T33" s="77"/>
      <c r="U33" s="78" t="str">
        <f t="shared" si="1"/>
        <v xml:space="preserve"> </v>
      </c>
      <c r="V33" s="74" t="str">
        <f t="shared" si="2"/>
        <v>-</v>
      </c>
      <c r="W33" s="87"/>
      <c r="X33" s="75"/>
      <c r="Y33" s="76"/>
      <c r="Z33" s="77"/>
      <c r="AA33" s="78" t="str">
        <f t="shared" si="3"/>
        <v xml:space="preserve"> </v>
      </c>
      <c r="AB33" s="74" t="str">
        <f t="shared" si="4"/>
        <v>-</v>
      </c>
      <c r="AC33" s="80" t="str">
        <f t="shared" si="5"/>
        <v>-</v>
      </c>
      <c r="AD33" s="74" t="str">
        <f t="shared" si="6"/>
        <v>-</v>
      </c>
      <c r="AL33" s="81"/>
    </row>
    <row r="34" spans="1:38" s="4" customFormat="1" x14ac:dyDescent="0.25">
      <c r="A34" s="63" t="s">
        <v>424</v>
      </c>
      <c r="B34" s="146"/>
      <c r="C34" s="64"/>
      <c r="D34" s="88"/>
      <c r="E34" s="89"/>
      <c r="F34" s="66"/>
      <c r="G34" s="67"/>
      <c r="H34" s="68"/>
      <c r="I34" s="69"/>
      <c r="J34" s="70"/>
      <c r="K34" s="83"/>
      <c r="L34" s="72"/>
      <c r="M34" s="73" t="str">
        <f t="shared" si="7"/>
        <v xml:space="preserve"> </v>
      </c>
      <c r="N34" s="74" t="str">
        <f t="shared" si="0"/>
        <v>-</v>
      </c>
      <c r="O34" s="64"/>
      <c r="P34" s="86"/>
      <c r="Q34" s="86"/>
      <c r="R34" s="75"/>
      <c r="S34" s="76"/>
      <c r="T34" s="77"/>
      <c r="U34" s="78" t="str">
        <f t="shared" si="1"/>
        <v xml:space="preserve"> </v>
      </c>
      <c r="V34" s="74" t="str">
        <f t="shared" si="2"/>
        <v>-</v>
      </c>
      <c r="W34" s="87"/>
      <c r="X34" s="75"/>
      <c r="Y34" s="76"/>
      <c r="Z34" s="77"/>
      <c r="AA34" s="78" t="str">
        <f t="shared" si="3"/>
        <v xml:space="preserve"> </v>
      </c>
      <c r="AB34" s="74" t="str">
        <f t="shared" si="4"/>
        <v>-</v>
      </c>
      <c r="AC34" s="80" t="str">
        <f t="shared" si="5"/>
        <v>-</v>
      </c>
      <c r="AD34" s="74" t="str">
        <f t="shared" si="6"/>
        <v>-</v>
      </c>
      <c r="AL34" s="81"/>
    </row>
    <row r="35" spans="1:38" s="4" customFormat="1" x14ac:dyDescent="0.25">
      <c r="A35" s="63" t="s">
        <v>425</v>
      </c>
      <c r="B35" s="146"/>
      <c r="C35" s="64"/>
      <c r="D35" s="88"/>
      <c r="E35" s="89"/>
      <c r="F35" s="66"/>
      <c r="G35" s="67"/>
      <c r="H35" s="68"/>
      <c r="I35" s="69"/>
      <c r="J35" s="70"/>
      <c r="K35" s="83"/>
      <c r="L35" s="72"/>
      <c r="M35" s="73" t="str">
        <f t="shared" si="7"/>
        <v xml:space="preserve"> </v>
      </c>
      <c r="N35" s="74" t="str">
        <f t="shared" si="0"/>
        <v>-</v>
      </c>
      <c r="O35" s="64"/>
      <c r="P35" s="86"/>
      <c r="Q35" s="86"/>
      <c r="R35" s="75"/>
      <c r="S35" s="76"/>
      <c r="T35" s="77"/>
      <c r="U35" s="78" t="str">
        <f t="shared" si="1"/>
        <v xml:space="preserve"> </v>
      </c>
      <c r="V35" s="74" t="str">
        <f t="shared" si="2"/>
        <v>-</v>
      </c>
      <c r="W35" s="87"/>
      <c r="X35" s="75"/>
      <c r="Y35" s="76"/>
      <c r="Z35" s="77"/>
      <c r="AA35" s="78" t="str">
        <f t="shared" si="3"/>
        <v xml:space="preserve"> </v>
      </c>
      <c r="AB35" s="74" t="str">
        <f t="shared" si="4"/>
        <v>-</v>
      </c>
      <c r="AC35" s="80" t="str">
        <f t="shared" si="5"/>
        <v>-</v>
      </c>
      <c r="AD35" s="74" t="str">
        <f t="shared" si="6"/>
        <v>-</v>
      </c>
      <c r="AL35" s="81"/>
    </row>
    <row r="36" spans="1:38" s="4" customFormat="1" x14ac:dyDescent="0.25">
      <c r="A36" s="63" t="s">
        <v>426</v>
      </c>
      <c r="B36" s="146"/>
      <c r="C36" s="64"/>
      <c r="D36" s="88"/>
      <c r="E36" s="89"/>
      <c r="F36" s="66"/>
      <c r="G36" s="67"/>
      <c r="H36" s="68"/>
      <c r="I36" s="69"/>
      <c r="J36" s="70"/>
      <c r="K36" s="83"/>
      <c r="L36" s="72"/>
      <c r="M36" s="73" t="str">
        <f t="shared" si="7"/>
        <v xml:space="preserve"> </v>
      </c>
      <c r="N36" s="74" t="str">
        <f t="shared" si="0"/>
        <v>-</v>
      </c>
      <c r="O36" s="64"/>
      <c r="P36" s="86"/>
      <c r="Q36" s="86"/>
      <c r="R36" s="75"/>
      <c r="S36" s="76"/>
      <c r="T36" s="77"/>
      <c r="U36" s="78" t="str">
        <f t="shared" si="1"/>
        <v xml:space="preserve"> </v>
      </c>
      <c r="V36" s="74" t="str">
        <f t="shared" si="2"/>
        <v>-</v>
      </c>
      <c r="W36" s="87"/>
      <c r="X36" s="75"/>
      <c r="Y36" s="76"/>
      <c r="Z36" s="77"/>
      <c r="AA36" s="78" t="str">
        <f t="shared" si="3"/>
        <v xml:space="preserve"> </v>
      </c>
      <c r="AB36" s="74" t="str">
        <f t="shared" si="4"/>
        <v>-</v>
      </c>
      <c r="AC36" s="80" t="str">
        <f t="shared" si="5"/>
        <v>-</v>
      </c>
      <c r="AD36" s="74" t="str">
        <f t="shared" si="6"/>
        <v>-</v>
      </c>
      <c r="AL36" s="81"/>
    </row>
    <row r="37" spans="1:38" s="4" customFormat="1" x14ac:dyDescent="0.25">
      <c r="A37" s="63" t="s">
        <v>427</v>
      </c>
      <c r="B37" s="146"/>
      <c r="C37" s="64"/>
      <c r="D37" s="88"/>
      <c r="E37" s="89"/>
      <c r="F37" s="66"/>
      <c r="G37" s="67"/>
      <c r="H37" s="68"/>
      <c r="I37" s="69"/>
      <c r="J37" s="70"/>
      <c r="K37" s="83"/>
      <c r="L37" s="72"/>
      <c r="M37" s="73" t="str">
        <f t="shared" si="7"/>
        <v xml:space="preserve"> </v>
      </c>
      <c r="N37" s="74" t="str">
        <f t="shared" si="0"/>
        <v>-</v>
      </c>
      <c r="O37" s="64"/>
      <c r="P37" s="86"/>
      <c r="Q37" s="86"/>
      <c r="R37" s="75"/>
      <c r="S37" s="76"/>
      <c r="T37" s="77"/>
      <c r="U37" s="78" t="str">
        <f t="shared" si="1"/>
        <v xml:space="preserve"> </v>
      </c>
      <c r="V37" s="74" t="str">
        <f t="shared" si="2"/>
        <v>-</v>
      </c>
      <c r="W37" s="87"/>
      <c r="X37" s="75"/>
      <c r="Y37" s="76"/>
      <c r="Z37" s="77"/>
      <c r="AA37" s="78" t="str">
        <f t="shared" si="3"/>
        <v xml:space="preserve"> </v>
      </c>
      <c r="AB37" s="74" t="str">
        <f t="shared" si="4"/>
        <v>-</v>
      </c>
      <c r="AC37" s="80" t="str">
        <f t="shared" si="5"/>
        <v>-</v>
      </c>
      <c r="AD37" s="74" t="str">
        <f t="shared" si="6"/>
        <v>-</v>
      </c>
      <c r="AL37" s="81"/>
    </row>
    <row r="38" spans="1:38" s="4" customFormat="1" x14ac:dyDescent="0.25">
      <c r="A38" s="63" t="s">
        <v>428</v>
      </c>
      <c r="B38" s="146"/>
      <c r="C38" s="64"/>
      <c r="D38" s="88"/>
      <c r="E38" s="89"/>
      <c r="F38" s="66"/>
      <c r="G38" s="67"/>
      <c r="H38" s="68"/>
      <c r="I38" s="69"/>
      <c r="J38" s="70"/>
      <c r="K38" s="83"/>
      <c r="L38" s="72"/>
      <c r="M38" s="73" t="str">
        <f t="shared" si="7"/>
        <v xml:space="preserve"> </v>
      </c>
      <c r="N38" s="74" t="str">
        <f t="shared" si="0"/>
        <v>-</v>
      </c>
      <c r="O38" s="64"/>
      <c r="P38" s="86"/>
      <c r="Q38" s="86"/>
      <c r="R38" s="75"/>
      <c r="S38" s="76"/>
      <c r="T38" s="77"/>
      <c r="U38" s="78" t="str">
        <f t="shared" si="1"/>
        <v xml:space="preserve"> </v>
      </c>
      <c r="V38" s="74" t="str">
        <f t="shared" si="2"/>
        <v>-</v>
      </c>
      <c r="W38" s="87"/>
      <c r="X38" s="75"/>
      <c r="Y38" s="76"/>
      <c r="Z38" s="77"/>
      <c r="AA38" s="78" t="str">
        <f t="shared" si="3"/>
        <v xml:space="preserve"> </v>
      </c>
      <c r="AB38" s="74" t="str">
        <f t="shared" si="4"/>
        <v>-</v>
      </c>
      <c r="AC38" s="80" t="str">
        <f t="shared" si="5"/>
        <v>-</v>
      </c>
      <c r="AD38" s="74" t="str">
        <f t="shared" si="6"/>
        <v>-</v>
      </c>
      <c r="AL38" s="81"/>
    </row>
    <row r="39" spans="1:38" s="4" customFormat="1" x14ac:dyDescent="0.25">
      <c r="A39" s="63" t="s">
        <v>429</v>
      </c>
      <c r="B39" s="146"/>
      <c r="C39" s="64"/>
      <c r="D39" s="88"/>
      <c r="E39" s="89"/>
      <c r="F39" s="66"/>
      <c r="G39" s="67"/>
      <c r="H39" s="68"/>
      <c r="I39" s="69"/>
      <c r="J39" s="70"/>
      <c r="K39" s="83"/>
      <c r="L39" s="72"/>
      <c r="M39" s="73" t="str">
        <f t="shared" si="7"/>
        <v xml:space="preserve"> </v>
      </c>
      <c r="N39" s="74" t="str">
        <f t="shared" si="0"/>
        <v>-</v>
      </c>
      <c r="O39" s="64"/>
      <c r="P39" s="86"/>
      <c r="Q39" s="86"/>
      <c r="R39" s="75"/>
      <c r="S39" s="76"/>
      <c r="T39" s="77"/>
      <c r="U39" s="78" t="str">
        <f t="shared" si="1"/>
        <v xml:space="preserve"> </v>
      </c>
      <c r="V39" s="74" t="str">
        <f t="shared" si="2"/>
        <v>-</v>
      </c>
      <c r="W39" s="87"/>
      <c r="X39" s="75"/>
      <c r="Y39" s="76"/>
      <c r="Z39" s="77"/>
      <c r="AA39" s="78" t="str">
        <f t="shared" si="3"/>
        <v xml:space="preserve"> </v>
      </c>
      <c r="AB39" s="74" t="str">
        <f t="shared" si="4"/>
        <v>-</v>
      </c>
      <c r="AC39" s="80" t="str">
        <f t="shared" si="5"/>
        <v>-</v>
      </c>
      <c r="AD39" s="74" t="str">
        <f t="shared" si="6"/>
        <v>-</v>
      </c>
      <c r="AL39" s="81"/>
    </row>
    <row r="40" spans="1:38" s="4" customFormat="1" x14ac:dyDescent="0.25">
      <c r="A40" s="63" t="s">
        <v>430</v>
      </c>
      <c r="B40" s="146"/>
      <c r="C40" s="64"/>
      <c r="D40" s="88"/>
      <c r="E40" s="89"/>
      <c r="F40" s="66"/>
      <c r="G40" s="67"/>
      <c r="H40" s="68"/>
      <c r="I40" s="69"/>
      <c r="J40" s="70"/>
      <c r="K40" s="83"/>
      <c r="L40" s="72"/>
      <c r="M40" s="73" t="str">
        <f t="shared" si="7"/>
        <v xml:space="preserve"> </v>
      </c>
      <c r="N40" s="74" t="str">
        <f t="shared" si="0"/>
        <v>-</v>
      </c>
      <c r="O40" s="64"/>
      <c r="P40" s="86"/>
      <c r="Q40" s="86"/>
      <c r="R40" s="75"/>
      <c r="S40" s="76"/>
      <c r="T40" s="77"/>
      <c r="U40" s="78" t="str">
        <f t="shared" si="1"/>
        <v xml:space="preserve"> </v>
      </c>
      <c r="V40" s="74" t="str">
        <f t="shared" si="2"/>
        <v>-</v>
      </c>
      <c r="W40" s="87"/>
      <c r="X40" s="75"/>
      <c r="Y40" s="76"/>
      <c r="Z40" s="77"/>
      <c r="AA40" s="78" t="str">
        <f t="shared" si="3"/>
        <v xml:space="preserve"> </v>
      </c>
      <c r="AB40" s="74" t="str">
        <f t="shared" si="4"/>
        <v>-</v>
      </c>
      <c r="AC40" s="80" t="str">
        <f t="shared" si="5"/>
        <v>-</v>
      </c>
      <c r="AD40" s="74" t="str">
        <f t="shared" si="6"/>
        <v>-</v>
      </c>
      <c r="AL40" s="81"/>
    </row>
    <row r="41" spans="1:38" s="4" customFormat="1" x14ac:dyDescent="0.25">
      <c r="A41" s="63" t="s">
        <v>431</v>
      </c>
      <c r="B41" s="146"/>
      <c r="C41" s="64"/>
      <c r="D41" s="88"/>
      <c r="E41" s="89"/>
      <c r="F41" s="66"/>
      <c r="G41" s="67"/>
      <c r="H41" s="68"/>
      <c r="I41" s="69"/>
      <c r="J41" s="70"/>
      <c r="K41" s="83"/>
      <c r="L41" s="72"/>
      <c r="M41" s="73" t="str">
        <f t="shared" si="7"/>
        <v xml:space="preserve"> </v>
      </c>
      <c r="N41" s="74" t="str">
        <f t="shared" si="0"/>
        <v>-</v>
      </c>
      <c r="O41" s="64"/>
      <c r="P41" s="86"/>
      <c r="Q41" s="86"/>
      <c r="R41" s="75"/>
      <c r="S41" s="76"/>
      <c r="T41" s="77"/>
      <c r="U41" s="78" t="str">
        <f t="shared" si="1"/>
        <v xml:space="preserve"> </v>
      </c>
      <c r="V41" s="74" t="str">
        <f t="shared" si="2"/>
        <v>-</v>
      </c>
      <c r="W41" s="87"/>
      <c r="X41" s="75"/>
      <c r="Y41" s="76"/>
      <c r="Z41" s="77"/>
      <c r="AA41" s="78" t="str">
        <f t="shared" si="3"/>
        <v xml:space="preserve"> </v>
      </c>
      <c r="AB41" s="74" t="str">
        <f t="shared" si="4"/>
        <v>-</v>
      </c>
      <c r="AC41" s="80" t="str">
        <f t="shared" si="5"/>
        <v>-</v>
      </c>
      <c r="AD41" s="74" t="str">
        <f t="shared" si="6"/>
        <v>-</v>
      </c>
      <c r="AL41" s="81"/>
    </row>
    <row r="42" spans="1:38" s="4" customFormat="1" ht="13.5" thickBot="1" x14ac:dyDescent="0.3">
      <c r="A42" s="90" t="s">
        <v>432</v>
      </c>
      <c r="B42" s="147"/>
      <c r="C42" s="91"/>
      <c r="D42" s="92"/>
      <c r="E42" s="93"/>
      <c r="F42" s="94"/>
      <c r="G42" s="95"/>
      <c r="H42" s="96"/>
      <c r="I42" s="97"/>
      <c r="J42" s="98"/>
      <c r="K42" s="99"/>
      <c r="L42" s="100"/>
      <c r="M42" s="101" t="str">
        <f>IF(H42+J42=0," ",H42*J42)</f>
        <v xml:space="preserve"> </v>
      </c>
      <c r="N42" s="102" t="str">
        <f t="shared" si="0"/>
        <v>-</v>
      </c>
      <c r="O42" s="91"/>
      <c r="P42" s="148"/>
      <c r="Q42" s="148"/>
      <c r="R42" s="103"/>
      <c r="S42" s="104"/>
      <c r="T42" s="100"/>
      <c r="U42" s="105" t="str">
        <f t="shared" si="1"/>
        <v xml:space="preserve"> </v>
      </c>
      <c r="V42" s="102" t="str">
        <f t="shared" si="2"/>
        <v>-</v>
      </c>
      <c r="W42" s="106"/>
      <c r="X42" s="103"/>
      <c r="Y42" s="104"/>
      <c r="Z42" s="100"/>
      <c r="AA42" s="105" t="str">
        <f t="shared" si="3"/>
        <v xml:space="preserve"> </v>
      </c>
      <c r="AB42" s="102" t="str">
        <f t="shared" si="4"/>
        <v>-</v>
      </c>
      <c r="AC42" s="107" t="str">
        <f t="shared" si="5"/>
        <v>-</v>
      </c>
      <c r="AD42" s="102" t="str">
        <f t="shared" si="6"/>
        <v>-</v>
      </c>
      <c r="AL42" s="81"/>
    </row>
    <row r="43" spans="1:38" ht="35.1" customHeight="1" x14ac:dyDescent="0.2">
      <c r="AL43" s="81"/>
    </row>
    <row r="44" spans="1:38" ht="35.1" customHeight="1" x14ac:dyDescent="0.2">
      <c r="AL44" s="81"/>
    </row>
    <row r="45" spans="1:38" ht="35.1" customHeight="1" x14ac:dyDescent="0.2">
      <c r="AL45" s="81"/>
    </row>
    <row r="46" spans="1:38" ht="35.1" customHeight="1" x14ac:dyDescent="0.2">
      <c r="AL46" s="81"/>
    </row>
    <row r="47" spans="1:38" ht="41.25" customHeight="1" x14ac:dyDescent="0.2">
      <c r="AL47" s="81"/>
    </row>
    <row r="48" spans="1:38" ht="40.5" customHeight="1" x14ac:dyDescent="0.2">
      <c r="AL48" s="81"/>
    </row>
    <row r="49" spans="38:38" ht="35.1" customHeight="1" x14ac:dyDescent="0.2">
      <c r="AL49" s="81"/>
    </row>
    <row r="50" spans="38:38" ht="17.25" customHeight="1" x14ac:dyDescent="0.2"/>
    <row r="51" spans="38:38" ht="35.1" customHeight="1" x14ac:dyDescent="0.2"/>
    <row r="52" spans="38:38" ht="12.75" customHeight="1" x14ac:dyDescent="0.2"/>
    <row r="53" spans="38:38" ht="35.1" customHeight="1" x14ac:dyDescent="0.2"/>
    <row r="54" spans="38:38" ht="35.1" customHeight="1" x14ac:dyDescent="0.2"/>
    <row r="55" spans="38:38" ht="35.1" customHeight="1" x14ac:dyDescent="0.2"/>
    <row r="56" spans="38:38" ht="35.1" customHeight="1" x14ac:dyDescent="0.2"/>
  </sheetData>
  <mergeCells count="46">
    <mergeCell ref="B16:B21"/>
    <mergeCell ref="C16:C18"/>
    <mergeCell ref="C20:C21"/>
    <mergeCell ref="B22:B27"/>
    <mergeCell ref="C22:C24"/>
    <mergeCell ref="C26:C27"/>
    <mergeCell ref="AD14:AD15"/>
    <mergeCell ref="S14:S15"/>
    <mergeCell ref="T14:T15"/>
    <mergeCell ref="U14:U15"/>
    <mergeCell ref="V14:V15"/>
    <mergeCell ref="W14:W15"/>
    <mergeCell ref="X14:X15"/>
    <mergeCell ref="Y14:Y15"/>
    <mergeCell ref="Z14:Z15"/>
    <mergeCell ref="AA14:AA15"/>
    <mergeCell ref="AB14:AB15"/>
    <mergeCell ref="AC14:AC15"/>
    <mergeCell ref="R14:R15"/>
    <mergeCell ref="A14:A15"/>
    <mergeCell ref="E14:E15"/>
    <mergeCell ref="F14:F15"/>
    <mergeCell ref="G14:G15"/>
    <mergeCell ref="I14:I15"/>
    <mergeCell ref="K14:K15"/>
    <mergeCell ref="M14:M15"/>
    <mergeCell ref="N14:N15"/>
    <mergeCell ref="O14:O15"/>
    <mergeCell ref="P14:P15"/>
    <mergeCell ref="Q14:Q15"/>
    <mergeCell ref="G4:I5"/>
    <mergeCell ref="L4:N4"/>
    <mergeCell ref="T4:U4"/>
    <mergeCell ref="Z4:AA4"/>
    <mergeCell ref="AB4:AD4"/>
    <mergeCell ref="L5:N5"/>
    <mergeCell ref="T5:U5"/>
    <mergeCell ref="Z5:AA5"/>
    <mergeCell ref="AB5:AD5"/>
    <mergeCell ref="Z1:AD1"/>
    <mergeCell ref="T2:U2"/>
    <mergeCell ref="Z2:AA2"/>
    <mergeCell ref="AB2:AD2"/>
    <mergeCell ref="T3:U3"/>
    <mergeCell ref="Z3:AA3"/>
    <mergeCell ref="AB3:AD3"/>
  </mergeCells>
  <conditionalFormatting sqref="N16:N42">
    <cfRule type="cellIs" dxfId="22" priority="6" stopIfTrue="1" operator="equal">
      <formula>"-"</formula>
    </cfRule>
    <cfRule type="expression" dxfId="21" priority="7" stopIfTrue="1">
      <formula>$N16&gt;$AE$4</formula>
    </cfRule>
    <cfRule type="expression" dxfId="20" priority="8" stopIfTrue="1">
      <formula>$N16&gt;$AE$3</formula>
    </cfRule>
    <cfRule type="expression" dxfId="19" priority="9" stopIfTrue="1">
      <formula>$N16&gt;$AE$2</formula>
    </cfRule>
    <cfRule type="expression" dxfId="18" priority="10" stopIfTrue="1">
      <formula>$N16&gt;0</formula>
    </cfRule>
  </conditionalFormatting>
  <conditionalFormatting sqref="N17:N42">
    <cfRule type="expression" dxfId="17" priority="24" stopIfTrue="1">
      <formula>$N17="-"</formula>
    </cfRule>
    <cfRule type="expression" dxfId="16" priority="25" stopIfTrue="1">
      <formula>$N17&gt;749</formula>
    </cfRule>
    <cfRule type="expression" dxfId="15" priority="26" stopIfTrue="1">
      <formula>$N17&gt;499</formula>
    </cfRule>
    <cfRule type="expression" dxfId="14" priority="27" stopIfTrue="1">
      <formula>$N17&gt;249</formula>
    </cfRule>
  </conditionalFormatting>
  <conditionalFormatting sqref="V16:V42">
    <cfRule type="cellIs" dxfId="13" priority="1" stopIfTrue="1" operator="equal">
      <formula>"-"</formula>
    </cfRule>
    <cfRule type="expression" dxfId="12" priority="2" stopIfTrue="1">
      <formula>$V16&gt;749</formula>
    </cfRule>
    <cfRule type="expression" dxfId="11" priority="3" stopIfTrue="1">
      <formula>$V16&gt;499</formula>
    </cfRule>
    <cfRule type="expression" dxfId="10" priority="4" stopIfTrue="1">
      <formula>$V16&gt;249</formula>
    </cfRule>
    <cfRule type="expression" dxfId="9" priority="5" stopIfTrue="1">
      <formula>$V16&gt;0</formula>
    </cfRule>
  </conditionalFormatting>
  <conditionalFormatting sqref="AB16:AB42">
    <cfRule type="cellIs" dxfId="8" priority="19" stopIfTrue="1" operator="equal">
      <formula>"-"</formula>
    </cfRule>
    <cfRule type="expression" dxfId="7" priority="20" stopIfTrue="1">
      <formula>$AB16&gt;$AE$4</formula>
    </cfRule>
    <cfRule type="expression" dxfId="6" priority="21" stopIfTrue="1">
      <formula>$AB16&gt;$AE$3</formula>
    </cfRule>
    <cfRule type="expression" dxfId="5" priority="22" stopIfTrue="1">
      <formula>$AB16&gt;$AE$2</formula>
    </cfRule>
    <cfRule type="expression" dxfId="4" priority="23" stopIfTrue="1">
      <formula>$AB16&gt;0</formula>
    </cfRule>
  </conditionalFormatting>
  <conditionalFormatting sqref="AC16:AD42">
    <cfRule type="cellIs" dxfId="3" priority="11" stopIfTrue="1" operator="equal">
      <formula>"Low"</formula>
    </cfRule>
    <cfRule type="cellIs" dxfId="2" priority="12" stopIfTrue="1" operator="equal">
      <formula>"Very High"</formula>
    </cfRule>
    <cfRule type="cellIs" dxfId="1" priority="13" stopIfTrue="1" operator="equal">
      <formula>"High"</formula>
    </cfRule>
    <cfRule type="cellIs" dxfId="0" priority="14" stopIfTrue="1" operator="equal">
      <formula>"Medium"</formula>
    </cfRule>
  </conditionalFormatting>
  <dataValidations count="1">
    <dataValidation type="list" allowBlank="1" showInputMessage="1" showErrorMessage="1" sqref="L16:L42 R16:T42 H16:H42 J16:J42 X16:Z42" xr:uid="{C8C8FB30-E9D1-4809-BAA0-37F2BDF6339A}">
      <formula1>$AF$2:$AF$11</formula1>
    </dataValidation>
  </dataValidations>
  <pageMargins left="0.78740157480314965" right="0.78740157480314965" top="0.98425196850393704" bottom="0.98425196850393704" header="0.51181102362204722" footer="0.51181102362204722"/>
  <pageSetup paperSize="9" scale="78" orientation="portrait" r:id="rId1"/>
  <headerFooter alignWithMargins="0">
    <oddHeader>&amp;LSOGECLAIR AEROSPACE&amp;CRISKS ASSESSMENT&amp;RPROJECT "XXX"</oddHeader>
    <oddFooter>&amp;Lsga_fr0_001/16.10.12&amp;R&amp;P / &amp;N</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369A9-56A4-421F-8D2B-B9735B3EEB2B}">
  <dimension ref="B1:L7"/>
  <sheetViews>
    <sheetView showGridLines="0" zoomScaleNormal="100" zoomScaleSheetLayoutView="100" workbookViewId="0">
      <selection activeCell="E61" sqref="E61"/>
    </sheetView>
  </sheetViews>
  <sheetFormatPr baseColWidth="10" defaultColWidth="10.85546875" defaultRowHeight="12.75" x14ac:dyDescent="0.2"/>
  <cols>
    <col min="1" max="1" width="2.85546875" style="2" customWidth="1"/>
    <col min="2" max="2" width="10.85546875" style="2"/>
    <col min="3" max="3" width="4.28515625" style="2" customWidth="1"/>
    <col min="4" max="4" width="3.28515625" style="2" customWidth="1"/>
    <col min="5" max="12" width="10.85546875" style="2"/>
    <col min="13" max="13" width="1.5703125" style="2" customWidth="1"/>
    <col min="14" max="14" width="12.42578125" style="2" customWidth="1"/>
    <col min="15" max="16384" width="10.85546875" style="2"/>
  </cols>
  <sheetData>
    <row r="1" spans="2:12" ht="18" x14ac:dyDescent="0.25">
      <c r="E1" s="108"/>
    </row>
    <row r="2" spans="2:12" x14ac:dyDescent="0.2">
      <c r="E2" s="109" t="s">
        <v>433</v>
      </c>
    </row>
    <row r="3" spans="2:12" ht="25.5" x14ac:dyDescent="0.2">
      <c r="B3" s="110">
        <f ca="1">TODAY()</f>
        <v>46325</v>
      </c>
      <c r="E3" s="111" t="s">
        <v>434</v>
      </c>
      <c r="F3" s="112" t="s">
        <v>435</v>
      </c>
      <c r="G3" s="112"/>
      <c r="H3" s="112"/>
      <c r="I3" s="112"/>
      <c r="J3" s="112"/>
      <c r="K3" s="112"/>
      <c r="L3" s="112"/>
    </row>
    <row r="4" spans="2:12" ht="20.100000000000001" customHeight="1" x14ac:dyDescent="0.2">
      <c r="B4" s="113">
        <f>COUNTIF(Produit!AC16:AC42,"VERY HIGH")</f>
        <v>0</v>
      </c>
      <c r="D4" s="596" t="s">
        <v>317</v>
      </c>
      <c r="E4" s="114" t="s">
        <v>436</v>
      </c>
      <c r="F4" s="115">
        <v>0</v>
      </c>
      <c r="G4" s="115"/>
      <c r="H4" s="115"/>
      <c r="I4" s="113"/>
      <c r="J4" s="115"/>
      <c r="K4" s="115"/>
      <c r="L4" s="115"/>
    </row>
    <row r="5" spans="2:12" ht="20.100000000000001" customHeight="1" x14ac:dyDescent="0.2">
      <c r="B5" s="113">
        <f>COUNTIF(Produit!AC16:AC42,"HIGH")</f>
        <v>0</v>
      </c>
      <c r="D5" s="597"/>
      <c r="E5" s="114" t="s">
        <v>437</v>
      </c>
      <c r="F5" s="115">
        <v>1</v>
      </c>
      <c r="G5" s="115"/>
      <c r="H5" s="115"/>
      <c r="I5" s="113"/>
      <c r="J5" s="115"/>
      <c r="K5" s="115"/>
      <c r="L5" s="115"/>
    </row>
    <row r="6" spans="2:12" ht="20.100000000000001" customHeight="1" x14ac:dyDescent="0.2">
      <c r="B6" s="113">
        <f>COUNTIF(Produit!AC16:AC42,"MEDIUM")</f>
        <v>0</v>
      </c>
      <c r="D6" s="597"/>
      <c r="E6" s="114" t="s">
        <v>347</v>
      </c>
      <c r="F6" s="115">
        <v>1</v>
      </c>
      <c r="G6" s="115"/>
      <c r="H6" s="115"/>
      <c r="I6" s="113"/>
      <c r="J6" s="115"/>
      <c r="K6" s="115"/>
      <c r="L6" s="115"/>
    </row>
    <row r="7" spans="2:12" ht="20.100000000000001" customHeight="1" x14ac:dyDescent="0.2">
      <c r="B7" s="113">
        <f>COUNTIF(Produit!AC16:AC42,"LOW")</f>
        <v>4</v>
      </c>
      <c r="D7" s="598"/>
      <c r="E7" s="114" t="s">
        <v>438</v>
      </c>
      <c r="F7" s="115">
        <v>2</v>
      </c>
      <c r="G7" s="115"/>
      <c r="H7" s="115"/>
      <c r="I7" s="113"/>
      <c r="J7" s="115"/>
      <c r="K7" s="115"/>
      <c r="L7" s="115"/>
    </row>
  </sheetData>
  <mergeCells count="1">
    <mergeCell ref="D4:D7"/>
  </mergeCells>
  <printOptions horizontalCentered="1"/>
  <pageMargins left="0.78740157480314965" right="0.78740157480314965" top="0.98425196850393704" bottom="0.98425196850393704" header="0.51181102362204722" footer="0.51181102362204722"/>
  <pageSetup paperSize="9" scale="78" orientation="landscape" r:id="rId1"/>
  <headerFooter alignWithMargins="0">
    <oddHeader>&amp;LSOGECLAIR AEROSPACE&amp;CRISKS ASSESSMENT&amp;RPROJECT "XXX"</oddHeader>
    <oddFooter>&amp;Lsga_fr0_001/16.10.12&amp;R&amp;P / &amp;N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DB669126791D46A72CACFB971DA434" ma:contentTypeVersion="10" ma:contentTypeDescription="Crée un document." ma:contentTypeScope="" ma:versionID="ea815beca60c6e6195fb8ca8b88d4b37">
  <xsd:schema xmlns:xsd="http://www.w3.org/2001/XMLSchema" xmlns:xs="http://www.w3.org/2001/XMLSchema" xmlns:p="http://schemas.microsoft.com/office/2006/metadata/properties" xmlns:ns2="488869cc-a9d1-4445-93a6-e9d986f2ee4c" targetNamespace="http://schemas.microsoft.com/office/2006/metadata/properties" ma:root="true" ma:fieldsID="8377651d4f959b7e5fc5bb057305271d" ns2:_="">
    <xsd:import namespace="488869cc-a9d1-4445-93a6-e9d986f2ee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8869cc-a9d1-4445-93a6-e9d986f2ee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afbc0575-b692-48b3-94b0-968145802ef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88869cc-a9d1-4445-93a6-e9d986f2ee4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46F0D6-5986-4F96-9750-8A672A688E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8869cc-a9d1-4445-93a6-e9d986f2ee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9992B3-0D0A-42A8-9229-662793BD027C}">
  <ds:schemaRefs>
    <ds:schemaRef ds:uri="http://schemas.microsoft.com/office/2006/metadata/properties"/>
    <ds:schemaRef ds:uri="http://schemas.microsoft.com/office/infopath/2007/PartnerControls"/>
    <ds:schemaRef ds:uri="488869cc-a9d1-4445-93a6-e9d986f2ee4c"/>
  </ds:schemaRefs>
</ds:datastoreItem>
</file>

<file path=customXml/itemProps3.xml><?xml version="1.0" encoding="utf-8"?>
<ds:datastoreItem xmlns:ds="http://schemas.openxmlformats.org/officeDocument/2006/customXml" ds:itemID="{64B48805-C4FD-4969-846E-6B980EB12F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5</vt:i4>
      </vt:variant>
    </vt:vector>
  </HeadingPairs>
  <TitlesOfParts>
    <vt:vector size="15" baseType="lpstr">
      <vt:lpstr>Guide utilisateur</vt:lpstr>
      <vt:lpstr>Introduction</vt:lpstr>
      <vt:lpstr>Aide aux risques</vt:lpstr>
      <vt:lpstr>Risques et Actions</vt:lpstr>
      <vt:lpstr>Dashboards</vt:lpstr>
      <vt:lpstr>Facteurs de notation (AMDEC)</vt:lpstr>
      <vt:lpstr>AMDEC</vt:lpstr>
      <vt:lpstr>AMDEC Rapport</vt:lpstr>
      <vt:lpstr>Produit</vt:lpstr>
      <vt:lpstr>Produit rapport</vt:lpstr>
      <vt:lpstr>Catégories</vt:lpstr>
      <vt:lpstr>AMDEC!Zone_d_impression</vt:lpstr>
      <vt:lpstr>Dashboards!Zone_d_impression</vt:lpstr>
      <vt:lpstr>'Produit rapport'!Zone_d_impression</vt:lpstr>
      <vt:lpstr>'Risques et Actions'!Zone_d_impression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Aude LEONARD</dc:creator>
  <cp:keywords/>
  <dc:description/>
  <cp:lastModifiedBy>Paul PINSOLLE</cp:lastModifiedBy>
  <cp:revision/>
  <dcterms:created xsi:type="dcterms:W3CDTF">2021-09-24T14:39:07Z</dcterms:created>
  <dcterms:modified xsi:type="dcterms:W3CDTF">2026-10-30T07:23:14Z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0x010100C9DB669126791D46A72CACFB971DA434</vt:lpwstr>
  </property>
  <property fmtid="{D5CDD505-2E9C-101B-9397-08002B2CF9AE}" pid="3" name="WorkbookGuid">
    <vt:lpwstr>2fdc03a2-1edc-4fe5-ac12-99a734d8026c</vt:lpwstr>
  </property>
  <property fmtid="{D5CDD505-2E9C-101B-9397-08002B2CF9AE}" pid="4" name="MediaServiceImageTags">
    <vt:lpwstr/>
  </property>
  <property fmtid="{D5CDD505-2E9C-101B-9397-08002B2CF9AE}" pid="5" name="Order">
    <vt:r8>6400</vt:r8>
  </property>
  <property fmtid="{D5CDD505-2E9C-101B-9397-08002B2CF9AE}" pid="6" name="xd_Signature">
    <vt:bool>false</vt:bool>
  </property>
  <property fmtid="{D5CDD505-2E9C-101B-9397-08002B2CF9AE}" pid="7" name="SharedWithUsers">
    <vt:lpwstr>7;#Pôle Consulting - Membres</vt:lpwstr>
  </property>
  <property fmtid="{D5CDD505-2E9C-101B-9397-08002B2CF9AE}" pid="8" name="xd_ProgID">
    <vt:lpwstr/>
  </property>
  <property fmtid="{D5CDD505-2E9C-101B-9397-08002B2CF9AE}" pid="9" name="_ExtendedDescription">
    <vt:lpwstr/>
  </property>
  <property fmtid="{D5CDD505-2E9C-101B-9397-08002B2CF9AE}" pid="10" name="TriggerFlowInfo">
    <vt:lpwstr/>
  </property>
  <property fmtid="{D5CDD505-2E9C-101B-9397-08002B2CF9AE}" pid="11" name="ComplianceAssetId">
    <vt:lpwstr/>
  </property>
  <property fmtid="{D5CDD505-2E9C-101B-9397-08002B2CF9AE}" pid="12" name="TemplateUrl">
    <vt:lpwstr/>
  </property>
</Properties>
</file>