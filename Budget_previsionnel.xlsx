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acylitiesmultiservices-my.sharepoint.com/personal/paul_pinsolle_fms-ea_com/Documents/Bureau/Gestion-de-projet/"/>
    </mc:Choice>
  </mc:AlternateContent>
  <xr:revisionPtr revIDLastSave="0" documentId="8_{56B3DB9B-E9F5-4775-847F-9D103ED9C87B}" xr6:coauthVersionLast="47" xr6:coauthVersionMax="47" xr10:uidLastSave="{00000000-0000-0000-0000-000000000000}"/>
  <bookViews>
    <workbookView xWindow="-28920" yWindow="-3870" windowWidth="29040" windowHeight="15720" xr2:uid="{BAAE49AC-3F04-4B0E-8AFE-F320C7836EBB}"/>
  </bookViews>
  <sheets>
    <sheet name="Tableau budget" sheetId="1" r:id="rId1"/>
    <sheet name="Feuil2" sheetId="2" state="hidden" r:id="rId2"/>
    <sheet name="Feuil3" sheetId="3" state="hidden" r:id="rId3"/>
    <sheet name="Tableau avec calcul" sheetId="4" state="hidden" r:id="rId4"/>
    <sheet name="Feuil1" sheetId="5" state="hidden" r:id="rId5"/>
    <sheet name="Feuil4" sheetId="6" state="hidden" r:id="rId6"/>
  </sheets>
  <definedNames>
    <definedName name="_xlnm._FilterDatabase" localSheetId="0" hidden="1">'Tableau budget'!$A$9:$G$9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" l="1"/>
  <c r="G12" i="1"/>
  <c r="G13" i="1"/>
  <c r="G14" i="1"/>
  <c r="G15" i="1"/>
  <c r="G16" i="1"/>
  <c r="G17" i="1"/>
  <c r="G10" i="1"/>
  <c r="G6" i="1"/>
  <c r="C28" i="4"/>
  <c r="C29" i="4" s="1"/>
  <c r="F28" i="4"/>
  <c r="F29" i="4" s="1"/>
  <c r="E28" i="4"/>
  <c r="E29" i="4" s="1"/>
  <c r="D28" i="4"/>
  <c r="D29" i="4" s="1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28" i="4" s="1"/>
  <c r="G29" i="4" s="1"/>
  <c r="G18" i="1" l="1"/>
  <c r="G19" i="1" s="1"/>
</calcChain>
</file>

<file path=xl/sharedStrings.xml><?xml version="1.0" encoding="utf-8"?>
<sst xmlns="http://schemas.openxmlformats.org/spreadsheetml/2006/main" count="207" uniqueCount="70">
  <si>
    <t>Budget prévisionnel pour l'application</t>
  </si>
  <si>
    <t>Tarifs journaliers des ressources humaines du projet</t>
  </si>
  <si>
    <t>EUR HT</t>
  </si>
  <si>
    <t>Graphiste</t>
  </si>
  <si>
    <t>Développeur</t>
  </si>
  <si>
    <t>Chef de projet</t>
  </si>
  <si>
    <t>Marketing/Commercial</t>
  </si>
  <si>
    <t xml:space="preserve">Total </t>
  </si>
  <si>
    <t>tarif/jour</t>
  </si>
  <si>
    <t>Coût total des ressources humaines du projet</t>
  </si>
  <si>
    <t>Etapes</t>
  </si>
  <si>
    <t>Etape détaillée</t>
  </si>
  <si>
    <t>total en EUR HT</t>
  </si>
  <si>
    <t>1-Analyse</t>
  </si>
  <si>
    <t>Consulting stratégique</t>
  </si>
  <si>
    <t>2-Maquettage</t>
  </si>
  <si>
    <t>Charte graphique et navigation</t>
  </si>
  <si>
    <t>3-Développement</t>
  </si>
  <si>
    <t>Mailing liste</t>
  </si>
  <si>
    <t>Profiling (dont formulaire d'inscription)</t>
  </si>
  <si>
    <t>Personnalisation</t>
  </si>
  <si>
    <t>Création d'une base de données</t>
  </si>
  <si>
    <t>Création d'un moteur de recherche</t>
  </si>
  <si>
    <t>Création d'un forum</t>
  </si>
  <si>
    <t>Création d'un panier</t>
  </si>
  <si>
    <t>Gestion d'adresses e-mails</t>
  </si>
  <si>
    <t>Formulaire de contact</t>
  </si>
  <si>
    <t>Sondage et vote en ligne</t>
  </si>
  <si>
    <t>4-Tests</t>
  </si>
  <si>
    <t>Test, installation et maintenance</t>
  </si>
  <si>
    <t>5-Installation</t>
  </si>
  <si>
    <t>Sécurisation du site</t>
  </si>
  <si>
    <t>Référencement</t>
  </si>
  <si>
    <t>6-Maquettage</t>
  </si>
  <si>
    <t>Design de l'application</t>
  </si>
  <si>
    <t>7-Commercialisation</t>
  </si>
  <si>
    <t>Commercialisation et communication</t>
  </si>
  <si>
    <t>8-Gestion de projet</t>
  </si>
  <si>
    <t>Suivi de projet</t>
  </si>
  <si>
    <t>TOTAL HT</t>
  </si>
  <si>
    <t>TOTAL TTC</t>
  </si>
  <si>
    <t>gestion de projet</t>
  </si>
  <si>
    <t>developpement</t>
  </si>
  <si>
    <t>maquettage</t>
  </si>
  <si>
    <t>graphiste</t>
  </si>
  <si>
    <t>chef de projet</t>
  </si>
  <si>
    <t>developpeur</t>
  </si>
  <si>
    <t>charte graphique et navigation</t>
  </si>
  <si>
    <t>présente la maquette et le chemin de nivagation</t>
  </si>
  <si>
    <t>création du formulaire et du moteur de recherche</t>
  </si>
  <si>
    <t>phase 2</t>
  </si>
  <si>
    <t xml:space="preserve">présentation maquette forrum </t>
  </si>
  <si>
    <t>phase 3</t>
  </si>
  <si>
    <t>charte graphique et et navigation</t>
  </si>
  <si>
    <t>total en EUR</t>
  </si>
  <si>
    <t>Tests (et maintenance)</t>
  </si>
  <si>
    <t>Expert (RSE)</t>
  </si>
  <si>
    <t>Audit des besoins &amp; Normes ISO</t>
  </si>
  <si>
    <t>2-Spécifications</t>
  </si>
  <si>
    <t>Rédaction du cahier des charcges</t>
  </si>
  <si>
    <t>Architecture de la base de données</t>
  </si>
  <si>
    <t>Suite Dev</t>
  </si>
  <si>
    <t>Recette fonctionnelle &amp; QA</t>
  </si>
  <si>
    <t>5-Déploiement</t>
  </si>
  <si>
    <t>Mise en production (Cloud)</t>
  </si>
  <si>
    <t>6-Lancement</t>
  </si>
  <si>
    <t>Stratégie de communication &amp; Salon</t>
  </si>
  <si>
    <t>7-Gestion de projet</t>
  </si>
  <si>
    <t>Suivi de projet ( tout au long )</t>
  </si>
  <si>
    <t>Budget prévisionnel pour l'application Green-IT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</si>
</sst>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/>
    <xf numFmtId="0" fontId="1" fillId="0" borderId="0" xfId="0" applyFont="1"/>
    <xf numFmtId="0" fontId="0" fillId="2" borderId="1" xfId="0" applyFill="1" applyBorder="1"/>
    <xf numFmtId="0" fontId="1" fillId="0" borderId="1" xfId="0" applyFont="1" applyBorder="1"/>
    <xf numFmtId="0" fontId="1" fillId="0" borderId="3" xfId="0" applyFont="1" applyBorder="1"/>
    <xf numFmtId="0" fontId="0" fillId="0" borderId="2" xfId="0" applyBorder="1"/>
    <xf numFmtId="0" fontId="0" fillId="0" borderId="4" xfId="0" applyBorder="1"/>
    <xf numFmtId="0" fontId="1" fillId="2" borderId="1" xfId="0" applyFont="1" applyFill="1" applyBorder="1"/>
    <xf numFmtId="0" fontId="2" fillId="0" borderId="0" xfId="0" applyFont="1"/>
    <xf numFmtId="0" fontId="0" fillId="0" borderId="5" xfId="0" applyBorder="1"/>
    <xf numFmtId="0" fontId="0" fillId="2" borderId="6" xfId="0" applyFill="1" applyBorder="1"/>
    <xf numFmtId="0" fontId="0" fillId="0" borderId="6" xfId="0" applyBorder="1"/>
    <xf numFmtId="0" fontId="0" fillId="0" borderId="7" xfId="0" applyBorder="1"/>
    <xf numFmtId="0" fontId="0" fillId="3" borderId="5" xfId="0" applyFill="1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1" fillId="0" borderId="13" xfId="0" applyFont="1" applyBorder="1"/>
    <xf numFmtId="0" fontId="1" fillId="0" borderId="6" xfId="0" applyFont="1" applyBorder="1"/>
    <xf numFmtId="0" fontId="0" fillId="0" borderId="14" xfId="0" applyBorder="1"/>
    <xf numFmtId="0" fontId="1" fillId="0" borderId="15" xfId="0" applyFont="1" applyBorder="1"/>
    <xf numFmtId="0" fontId="1" fillId="0" borderId="16" xfId="0" applyFont="1" applyBorder="1"/>
    <xf numFmtId="0" fontId="1" fillId="0" borderId="12" xfId="0" applyFont="1" applyBorder="1"/>
    <xf numFmtId="0" fontId="0" fillId="0" borderId="17" xfId="0" applyBorder="1"/>
    <xf numFmtId="0" fontId="0" fillId="0" borderId="18" xfId="0" applyBorder="1"/>
    <xf numFmtId="0" fontId="0" fillId="0" borderId="21" xfId="0" applyBorder="1"/>
    <xf numFmtId="0" fontId="1" fillId="3" borderId="10" xfId="0" applyFont="1" applyFill="1" applyBorder="1"/>
    <xf numFmtId="0" fontId="1" fillId="2" borderId="6" xfId="0" applyFont="1" applyFill="1" applyBorder="1"/>
    <xf numFmtId="0" fontId="0" fillId="0" borderId="25" xfId="0" applyBorder="1"/>
    <xf numFmtId="0" fontId="1" fillId="2" borderId="16" xfId="0" applyFont="1" applyFill="1" applyBorder="1"/>
    <xf numFmtId="0" fontId="0" fillId="0" borderId="16" xfId="0" applyBorder="1"/>
    <xf numFmtId="0" fontId="1" fillId="2" borderId="24" xfId="0" applyFont="1" applyFill="1" applyBorder="1" applyAlignment="1">
      <alignment wrapText="1"/>
    </xf>
    <xf numFmtId="0" fontId="1" fillId="0" borderId="0" xfId="0" applyFont="1" applyAlignment="1">
      <alignment horizontal="left"/>
    </xf>
    <xf numFmtId="0" fontId="1" fillId="2" borderId="5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18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2" xfId="0" applyFill="1" applyBorder="1" applyAlignment="1">
      <alignment horizontal="left"/>
    </xf>
    <xf numFmtId="0" fontId="0" fillId="2" borderId="23" xfId="0" applyFill="1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2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1</xdr:row>
      <xdr:rowOff>38100</xdr:rowOff>
    </xdr:from>
    <xdr:to>
      <xdr:col>10</xdr:col>
      <xdr:colOff>152400</xdr:colOff>
      <xdr:row>27</xdr:row>
      <xdr:rowOff>114300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7AB196EC-A4A2-2AB4-9E99-2FDC2427D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228600"/>
          <a:ext cx="5962650" cy="5029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0B654-205B-4C31-BD0A-D187766F06B3}">
  <dimension ref="A1:G19"/>
  <sheetViews>
    <sheetView tabSelected="1" workbookViewId="0">
      <selection activeCell="C28" sqref="C28"/>
    </sheetView>
  </sheetViews>
  <sheetFormatPr baseColWidth="10" defaultColWidth="11.42578125" defaultRowHeight="15" customHeight="1" x14ac:dyDescent="0.25"/>
  <cols>
    <col min="1" max="1" width="45.140625" customWidth="1"/>
    <col min="2" max="2" width="45" bestFit="1" customWidth="1"/>
    <col min="3" max="3" width="14" bestFit="1" customWidth="1"/>
    <col min="4" max="4" width="14.85546875" bestFit="1" customWidth="1"/>
    <col min="5" max="5" width="16" bestFit="1" customWidth="1"/>
    <col min="6" max="6" width="24.140625" bestFit="1" customWidth="1"/>
    <col min="7" max="7" width="16.85546875" bestFit="1" customWidth="1"/>
  </cols>
  <sheetData>
    <row r="1" spans="1:7" x14ac:dyDescent="0.25">
      <c r="A1" s="2" t="s">
        <v>69</v>
      </c>
      <c r="B1" s="2"/>
    </row>
    <row r="3" spans="1:7" x14ac:dyDescent="0.25">
      <c r="A3" s="2" t="s">
        <v>1</v>
      </c>
      <c r="B3" s="2"/>
      <c r="C3" s="2"/>
      <c r="D3" s="2"/>
      <c r="E3" s="2"/>
    </row>
    <row r="5" spans="1:7" x14ac:dyDescent="0.25">
      <c r="A5" s="34" t="s">
        <v>2</v>
      </c>
      <c r="B5" s="34"/>
      <c r="C5" s="28" t="s">
        <v>56</v>
      </c>
      <c r="D5" s="8" t="s">
        <v>4</v>
      </c>
      <c r="E5" s="8" t="s">
        <v>5</v>
      </c>
      <c r="F5" s="30" t="s">
        <v>6</v>
      </c>
      <c r="G5" s="32" t="s">
        <v>7</v>
      </c>
    </row>
    <row r="6" spans="1:7" x14ac:dyDescent="0.25">
      <c r="A6" s="35" t="s">
        <v>8</v>
      </c>
      <c r="B6" s="35"/>
      <c r="C6" s="12">
        <v>750</v>
      </c>
      <c r="D6" s="1">
        <v>600</v>
      </c>
      <c r="E6" s="1">
        <v>800</v>
      </c>
      <c r="F6" s="31">
        <v>500</v>
      </c>
      <c r="G6" s="10">
        <f>SUM(C6:F6)</f>
        <v>2650</v>
      </c>
    </row>
    <row r="8" spans="1:7" x14ac:dyDescent="0.25">
      <c r="A8" s="33" t="s">
        <v>9</v>
      </c>
      <c r="B8" s="33"/>
    </row>
    <row r="9" spans="1:7" x14ac:dyDescent="0.25">
      <c r="A9" s="27" t="s">
        <v>10</v>
      </c>
      <c r="B9" s="8" t="s">
        <v>11</v>
      </c>
      <c r="C9" s="8" t="s">
        <v>56</v>
      </c>
      <c r="D9" s="8" t="s">
        <v>4</v>
      </c>
      <c r="E9" s="8" t="s">
        <v>5</v>
      </c>
      <c r="F9" s="8" t="s">
        <v>6</v>
      </c>
      <c r="G9" s="8" t="s">
        <v>12</v>
      </c>
    </row>
    <row r="10" spans="1:7" x14ac:dyDescent="0.25">
      <c r="A10" s="10" t="s">
        <v>13</v>
      </c>
      <c r="B10" s="12" t="s">
        <v>57</v>
      </c>
      <c r="C10" s="1">
        <v>8</v>
      </c>
      <c r="D10" s="1"/>
      <c r="E10" s="1">
        <v>2</v>
      </c>
      <c r="F10" s="1"/>
      <c r="G10" s="1">
        <f>SUMPRODUCT($C$6:$F$6,C10:F10)</f>
        <v>7600</v>
      </c>
    </row>
    <row r="11" spans="1:7" x14ac:dyDescent="0.25">
      <c r="A11" s="10" t="s">
        <v>58</v>
      </c>
      <c r="B11" s="12" t="s">
        <v>59</v>
      </c>
      <c r="C11" s="1">
        <v>2</v>
      </c>
      <c r="D11" s="1">
        <v>3</v>
      </c>
      <c r="E11" s="1">
        <v>2</v>
      </c>
      <c r="F11" s="1"/>
      <c r="G11" s="1">
        <f t="shared" ref="G11:G17" si="0">SUMPRODUCT($C$6:$F$6,C11:F11)</f>
        <v>4900</v>
      </c>
    </row>
    <row r="12" spans="1:7" x14ac:dyDescent="0.25">
      <c r="A12" s="10" t="s">
        <v>17</v>
      </c>
      <c r="B12" s="12" t="s">
        <v>60</v>
      </c>
      <c r="C12" s="1">
        <v>3</v>
      </c>
      <c r="D12" s="1">
        <v>20</v>
      </c>
      <c r="E12" s="1">
        <v>1</v>
      </c>
      <c r="F12" s="1"/>
      <c r="G12" s="1">
        <f t="shared" si="0"/>
        <v>15050</v>
      </c>
    </row>
    <row r="13" spans="1:7" x14ac:dyDescent="0.25">
      <c r="A13" s="10" t="s">
        <v>17</v>
      </c>
      <c r="B13" s="12" t="s">
        <v>61</v>
      </c>
      <c r="C13" s="1"/>
      <c r="D13" s="1">
        <v>12</v>
      </c>
      <c r="E13" s="1">
        <v>1</v>
      </c>
      <c r="F13" s="1"/>
      <c r="G13" s="1">
        <f t="shared" si="0"/>
        <v>8000</v>
      </c>
    </row>
    <row r="14" spans="1:7" x14ac:dyDescent="0.25">
      <c r="A14" s="10" t="s">
        <v>28</v>
      </c>
      <c r="B14" s="12" t="s">
        <v>62</v>
      </c>
      <c r="C14" s="1">
        <v>2</v>
      </c>
      <c r="D14" s="1">
        <v>4</v>
      </c>
      <c r="E14" s="1">
        <v>1</v>
      </c>
      <c r="F14" s="1"/>
      <c r="G14" s="1">
        <f t="shared" si="0"/>
        <v>4700</v>
      </c>
    </row>
    <row r="15" spans="1:7" x14ac:dyDescent="0.25">
      <c r="A15" s="10" t="s">
        <v>63</v>
      </c>
      <c r="B15" s="12" t="s">
        <v>64</v>
      </c>
      <c r="C15" s="1"/>
      <c r="D15" s="1">
        <v>3</v>
      </c>
      <c r="E15" s="1">
        <v>1</v>
      </c>
      <c r="F15" s="1"/>
      <c r="G15" s="1">
        <f t="shared" si="0"/>
        <v>2600</v>
      </c>
    </row>
    <row r="16" spans="1:7" x14ac:dyDescent="0.25">
      <c r="A16" s="10" t="s">
        <v>65</v>
      </c>
      <c r="B16" s="13" t="s">
        <v>66</v>
      </c>
      <c r="C16" s="7"/>
      <c r="D16" s="7"/>
      <c r="E16" s="7">
        <v>1</v>
      </c>
      <c r="F16" s="7">
        <v>10</v>
      </c>
      <c r="G16" s="1">
        <f t="shared" si="0"/>
        <v>5800</v>
      </c>
    </row>
    <row r="17" spans="1:7" x14ac:dyDescent="0.25">
      <c r="A17" s="15" t="s">
        <v>67</v>
      </c>
      <c r="B17" s="16" t="s">
        <v>68</v>
      </c>
      <c r="C17" s="15"/>
      <c r="D17" s="15"/>
      <c r="E17" s="15">
        <v>8</v>
      </c>
      <c r="F17" s="15"/>
      <c r="G17" s="1">
        <f t="shared" si="0"/>
        <v>6400</v>
      </c>
    </row>
    <row r="18" spans="1:7" x14ac:dyDescent="0.25">
      <c r="A18" s="36" t="s">
        <v>39</v>
      </c>
      <c r="B18" s="36"/>
      <c r="C18" s="18"/>
      <c r="D18" s="5"/>
      <c r="E18" s="5"/>
      <c r="F18" s="5"/>
      <c r="G18" s="5">
        <f>SUM(G10:G17)</f>
        <v>55050</v>
      </c>
    </row>
    <row r="19" spans="1:7" x14ac:dyDescent="0.25">
      <c r="A19" s="37" t="s">
        <v>40</v>
      </c>
      <c r="B19" s="37"/>
      <c r="C19" s="19"/>
      <c r="D19" s="4"/>
      <c r="E19" s="4"/>
      <c r="F19" s="4"/>
      <c r="G19" s="4">
        <f>G18*120%</f>
        <v>66060</v>
      </c>
    </row>
  </sheetData>
  <autoFilter ref="A9:G9" xr:uid="{76D0B654-205B-4C31-BD0A-D187766F06B3}"/>
  <mergeCells count="5">
    <mergeCell ref="A8:B8"/>
    <mergeCell ref="A5:B5"/>
    <mergeCell ref="A6:B6"/>
    <mergeCell ref="A18:B18"/>
    <mergeCell ref="A19:B19"/>
  </mergeCells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4C2B4-7D3D-4DAF-8945-D60ECBC29432}">
  <dimension ref="A1:E14"/>
  <sheetViews>
    <sheetView workbookViewId="0">
      <selection activeCell="B22" sqref="B22"/>
    </sheetView>
  </sheetViews>
  <sheetFormatPr baseColWidth="10" defaultColWidth="8.85546875" defaultRowHeight="15" x14ac:dyDescent="0.25"/>
  <cols>
    <col min="1" max="1" width="45.5703125" bestFit="1" customWidth="1"/>
    <col min="2" max="2" width="44.28515625" bestFit="1" customWidth="1"/>
    <col min="4" max="4" width="13.42578125" bestFit="1" customWidth="1"/>
    <col min="5" max="5" width="12.140625" bestFit="1" customWidth="1"/>
  </cols>
  <sheetData>
    <row r="1" spans="1:5" x14ac:dyDescent="0.25">
      <c r="A1" s="9" t="s">
        <v>41</v>
      </c>
      <c r="B1" s="9"/>
      <c r="C1" s="9"/>
      <c r="D1" s="9"/>
      <c r="E1" s="9"/>
    </row>
    <row r="2" spans="1:5" x14ac:dyDescent="0.25">
      <c r="A2" s="9" t="s">
        <v>42</v>
      </c>
      <c r="B2" s="9"/>
      <c r="C2" s="9"/>
      <c r="D2" s="9"/>
      <c r="E2" s="9"/>
    </row>
    <row r="3" spans="1:5" x14ac:dyDescent="0.25">
      <c r="A3" s="9" t="s">
        <v>43</v>
      </c>
      <c r="B3" s="9"/>
      <c r="C3" s="9"/>
      <c r="D3" s="9"/>
      <c r="E3" s="9"/>
    </row>
    <row r="4" spans="1:5" x14ac:dyDescent="0.25">
      <c r="A4" s="9"/>
      <c r="B4" s="9"/>
      <c r="C4" s="9" t="s">
        <v>44</v>
      </c>
      <c r="D4" s="9" t="s">
        <v>45</v>
      </c>
      <c r="E4" s="9" t="s">
        <v>46</v>
      </c>
    </row>
    <row r="5" spans="1:5" x14ac:dyDescent="0.25">
      <c r="A5" s="9"/>
      <c r="B5" s="9"/>
      <c r="C5" s="9"/>
      <c r="D5" s="9"/>
      <c r="E5" s="9"/>
    </row>
    <row r="6" spans="1:5" x14ac:dyDescent="0.25">
      <c r="A6" s="9" t="s">
        <v>47</v>
      </c>
      <c r="B6" s="9" t="s">
        <v>48</v>
      </c>
      <c r="C6" s="9">
        <v>5</v>
      </c>
      <c r="D6" s="9">
        <v>0.5</v>
      </c>
      <c r="E6" s="9"/>
    </row>
    <row r="7" spans="1:5" x14ac:dyDescent="0.25">
      <c r="A7" s="9" t="s">
        <v>49</v>
      </c>
      <c r="B7" s="9"/>
      <c r="C7" s="9"/>
      <c r="D7" s="9"/>
      <c r="E7" s="9">
        <v>5</v>
      </c>
    </row>
    <row r="8" spans="1:5" x14ac:dyDescent="0.25">
      <c r="A8" s="9"/>
      <c r="B8" s="9"/>
      <c r="C8" s="9"/>
      <c r="D8" s="9"/>
      <c r="E8" s="9"/>
    </row>
    <row r="9" spans="1:5" x14ac:dyDescent="0.25">
      <c r="A9" s="9" t="s">
        <v>50</v>
      </c>
      <c r="B9" s="9">
        <v>2</v>
      </c>
      <c r="C9" s="9"/>
      <c r="D9" s="9"/>
      <c r="E9" s="9"/>
    </row>
    <row r="10" spans="1:5" x14ac:dyDescent="0.25">
      <c r="A10" s="9" t="s">
        <v>47</v>
      </c>
      <c r="B10" s="9" t="s">
        <v>51</v>
      </c>
      <c r="C10" s="9">
        <v>1</v>
      </c>
      <c r="D10" s="9"/>
      <c r="E10" s="9"/>
    </row>
    <row r="11" spans="1:5" x14ac:dyDescent="0.25">
      <c r="A11" s="9"/>
      <c r="B11" s="9"/>
      <c r="C11" s="9"/>
      <c r="D11" s="9"/>
      <c r="E11" s="9"/>
    </row>
    <row r="12" spans="1:5" x14ac:dyDescent="0.25">
      <c r="A12" s="9"/>
      <c r="B12" s="9"/>
      <c r="C12" s="9"/>
      <c r="D12" s="9"/>
      <c r="E12" s="9"/>
    </row>
    <row r="13" spans="1:5" x14ac:dyDescent="0.25">
      <c r="A13" s="9" t="s">
        <v>52</v>
      </c>
      <c r="B13" s="9"/>
      <c r="C13" s="9"/>
      <c r="D13" s="9"/>
      <c r="E13" s="9"/>
    </row>
    <row r="14" spans="1:5" x14ac:dyDescent="0.25">
      <c r="A14" s="9" t="s">
        <v>53</v>
      </c>
      <c r="B14" s="9"/>
      <c r="C14" s="9"/>
      <c r="D14" s="9"/>
      <c r="E14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6BEDD-BDE4-40DF-A01F-C0514052F34A}">
  <dimension ref="A1"/>
  <sheetViews>
    <sheetView workbookViewId="0">
      <selection activeCell="Q11" sqref="Q11"/>
    </sheetView>
  </sheetViews>
  <sheetFormatPr baseColWidth="10" defaultColWidth="8.85546875"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B9EFB-74B8-4328-96BC-D8430E04DCF3}">
  <dimension ref="A1:G29"/>
  <sheetViews>
    <sheetView workbookViewId="0">
      <selection activeCell="C10" sqref="C10:G29"/>
    </sheetView>
  </sheetViews>
  <sheetFormatPr baseColWidth="10" defaultColWidth="11.42578125" defaultRowHeight="15" x14ac:dyDescent="0.25"/>
  <cols>
    <col min="1" max="1" width="28.140625" customWidth="1"/>
    <col min="2" max="2" width="45" bestFit="1" customWidth="1"/>
    <col min="3" max="3" width="9.140625"/>
    <col min="4" max="4" width="12.28515625" bestFit="1" customWidth="1"/>
    <col min="5" max="5" width="13.28515625" bestFit="1" customWidth="1"/>
    <col min="6" max="6" width="21.140625" bestFit="1" customWidth="1"/>
    <col min="7" max="7" width="13.85546875" bestFit="1" customWidth="1"/>
  </cols>
  <sheetData>
    <row r="1" spans="1:7" x14ac:dyDescent="0.25">
      <c r="A1" s="38" t="s">
        <v>0</v>
      </c>
      <c r="B1" s="38"/>
    </row>
    <row r="3" spans="1:7" x14ac:dyDescent="0.25">
      <c r="A3" s="38" t="s">
        <v>1</v>
      </c>
      <c r="B3" s="38"/>
      <c r="C3" s="2"/>
      <c r="D3" s="2"/>
      <c r="E3" s="2"/>
    </row>
    <row r="5" spans="1:7" x14ac:dyDescent="0.25">
      <c r="A5" s="41" t="s">
        <v>2</v>
      </c>
      <c r="B5" s="41"/>
      <c r="C5" s="11" t="s">
        <v>3</v>
      </c>
      <c r="D5" s="3" t="s">
        <v>4</v>
      </c>
      <c r="E5" s="3" t="s">
        <v>5</v>
      </c>
      <c r="F5" s="3" t="s">
        <v>6</v>
      </c>
    </row>
    <row r="6" spans="1:7" x14ac:dyDescent="0.25">
      <c r="A6" s="35" t="s">
        <v>8</v>
      </c>
      <c r="B6" s="35"/>
      <c r="C6" s="12">
        <v>450</v>
      </c>
      <c r="D6" s="1">
        <v>600</v>
      </c>
      <c r="E6" s="1">
        <v>800</v>
      </c>
      <c r="F6" s="1">
        <v>520</v>
      </c>
    </row>
    <row r="8" spans="1:7" x14ac:dyDescent="0.25">
      <c r="B8" s="2" t="s">
        <v>9</v>
      </c>
    </row>
    <row r="9" spans="1:7" x14ac:dyDescent="0.25">
      <c r="A9" s="14" t="s">
        <v>10</v>
      </c>
      <c r="B9" s="11" t="s">
        <v>11</v>
      </c>
      <c r="C9" s="8" t="s">
        <v>3</v>
      </c>
      <c r="D9" s="8" t="s">
        <v>4</v>
      </c>
      <c r="E9" s="8" t="s">
        <v>5</v>
      </c>
      <c r="F9" s="8" t="s">
        <v>6</v>
      </c>
      <c r="G9" s="8" t="s">
        <v>54</v>
      </c>
    </row>
    <row r="10" spans="1:7" x14ac:dyDescent="0.25">
      <c r="A10" s="10" t="s">
        <v>13</v>
      </c>
      <c r="B10" s="12" t="s">
        <v>14</v>
      </c>
      <c r="C10" s="1"/>
      <c r="D10" s="1"/>
      <c r="E10" s="1">
        <v>10</v>
      </c>
      <c r="F10" s="1"/>
      <c r="G10" s="1">
        <f>E10*E6</f>
        <v>8000</v>
      </c>
    </row>
    <row r="11" spans="1:7" x14ac:dyDescent="0.25">
      <c r="A11" s="10" t="s">
        <v>15</v>
      </c>
      <c r="B11" s="12" t="s">
        <v>16</v>
      </c>
      <c r="C11" s="1">
        <v>5</v>
      </c>
      <c r="D11" s="1">
        <v>3</v>
      </c>
      <c r="E11" s="1">
        <v>2</v>
      </c>
      <c r="F11" s="1"/>
      <c r="G11" s="1">
        <f>C11*C6+D11*D6+E11*E6</f>
        <v>5650</v>
      </c>
    </row>
    <row r="12" spans="1:7" x14ac:dyDescent="0.25">
      <c r="A12" s="10" t="s">
        <v>17</v>
      </c>
      <c r="B12" s="12" t="s">
        <v>18</v>
      </c>
      <c r="C12" s="1"/>
      <c r="D12" s="1">
        <v>5</v>
      </c>
      <c r="E12" s="1"/>
      <c r="F12" s="1"/>
      <c r="G12" s="1">
        <f>D12*D6</f>
        <v>3000</v>
      </c>
    </row>
    <row r="13" spans="1:7" x14ac:dyDescent="0.25">
      <c r="A13" s="10" t="s">
        <v>17</v>
      </c>
      <c r="B13" s="12" t="s">
        <v>19</v>
      </c>
      <c r="C13" s="1"/>
      <c r="D13" s="1">
        <v>10</v>
      </c>
      <c r="E13" s="1">
        <v>1</v>
      </c>
      <c r="F13" s="1"/>
      <c r="G13" s="1">
        <f>D13*D6+E13*E6</f>
        <v>6800</v>
      </c>
    </row>
    <row r="14" spans="1:7" x14ac:dyDescent="0.25">
      <c r="A14" s="10" t="s">
        <v>17</v>
      </c>
      <c r="B14" s="12" t="s">
        <v>20</v>
      </c>
      <c r="C14" s="1">
        <v>2</v>
      </c>
      <c r="D14" s="1">
        <v>10</v>
      </c>
      <c r="E14" s="1">
        <v>1</v>
      </c>
      <c r="F14" s="1"/>
      <c r="G14" s="1">
        <f>C14*C6+D14*D6+E14*E6</f>
        <v>7700</v>
      </c>
    </row>
    <row r="15" spans="1:7" x14ac:dyDescent="0.25">
      <c r="A15" s="10" t="s">
        <v>17</v>
      </c>
      <c r="B15" s="12" t="s">
        <v>21</v>
      </c>
      <c r="C15" s="1"/>
      <c r="D15" s="1">
        <v>10</v>
      </c>
      <c r="E15" s="1"/>
      <c r="F15" s="1"/>
      <c r="G15" s="1">
        <f>D15*D6</f>
        <v>6000</v>
      </c>
    </row>
    <row r="16" spans="1:7" x14ac:dyDescent="0.25">
      <c r="A16" s="10" t="s">
        <v>17</v>
      </c>
      <c r="B16" s="12" t="s">
        <v>22</v>
      </c>
      <c r="C16" s="1"/>
      <c r="D16" s="1">
        <v>10</v>
      </c>
      <c r="E16" s="1"/>
      <c r="F16" s="1"/>
      <c r="G16" s="1">
        <f>D16*D6</f>
        <v>6000</v>
      </c>
    </row>
    <row r="17" spans="1:7" x14ac:dyDescent="0.25">
      <c r="A17" s="10" t="s">
        <v>30</v>
      </c>
      <c r="B17" s="12" t="s">
        <v>31</v>
      </c>
      <c r="C17" s="1"/>
      <c r="D17" s="1">
        <v>5</v>
      </c>
      <c r="E17" s="1"/>
      <c r="F17" s="1"/>
      <c r="G17" s="1">
        <f>D17*D6</f>
        <v>3000</v>
      </c>
    </row>
    <row r="18" spans="1:7" x14ac:dyDescent="0.25">
      <c r="A18" s="10" t="s">
        <v>17</v>
      </c>
      <c r="B18" s="12" t="s">
        <v>23</v>
      </c>
      <c r="C18" s="1">
        <v>1</v>
      </c>
      <c r="D18" s="1">
        <v>5</v>
      </c>
      <c r="E18" s="1"/>
      <c r="F18" s="1"/>
      <c r="G18" s="1">
        <f>C18*C6+D18*D6</f>
        <v>3450</v>
      </c>
    </row>
    <row r="19" spans="1:7" x14ac:dyDescent="0.25">
      <c r="A19" s="10" t="s">
        <v>17</v>
      </c>
      <c r="B19" s="12" t="s">
        <v>24</v>
      </c>
      <c r="C19" s="1">
        <v>2</v>
      </c>
      <c r="D19" s="1">
        <v>5</v>
      </c>
      <c r="E19" s="1"/>
      <c r="F19" s="1"/>
      <c r="G19" s="1">
        <f>C19*C6+D19*D6</f>
        <v>3900</v>
      </c>
    </row>
    <row r="20" spans="1:7" x14ac:dyDescent="0.25">
      <c r="A20" s="10" t="s">
        <v>17</v>
      </c>
      <c r="B20" s="12" t="s">
        <v>25</v>
      </c>
      <c r="C20" s="1"/>
      <c r="D20" s="1">
        <v>5</v>
      </c>
      <c r="E20" s="1"/>
      <c r="F20" s="1"/>
      <c r="G20" s="1">
        <f>D20*D6</f>
        <v>3000</v>
      </c>
    </row>
    <row r="21" spans="1:7" x14ac:dyDescent="0.25">
      <c r="A21" s="10" t="s">
        <v>17</v>
      </c>
      <c r="B21" s="12" t="s">
        <v>26</v>
      </c>
      <c r="C21" s="1"/>
      <c r="D21" s="1">
        <v>1</v>
      </c>
      <c r="E21" s="1"/>
      <c r="F21" s="1"/>
      <c r="G21" s="1">
        <f>D21*D6</f>
        <v>600</v>
      </c>
    </row>
    <row r="22" spans="1:7" x14ac:dyDescent="0.25">
      <c r="A22" s="10" t="s">
        <v>17</v>
      </c>
      <c r="B22" s="12" t="s">
        <v>27</v>
      </c>
      <c r="C22" s="1">
        <v>1</v>
      </c>
      <c r="D22" s="1">
        <v>2</v>
      </c>
      <c r="E22" s="1"/>
      <c r="F22" s="1"/>
      <c r="G22" s="1">
        <f>C22*C6+D22*D6</f>
        <v>1650</v>
      </c>
    </row>
    <row r="23" spans="1:7" x14ac:dyDescent="0.25">
      <c r="A23" s="10" t="s">
        <v>28</v>
      </c>
      <c r="B23" s="12" t="s">
        <v>55</v>
      </c>
      <c r="C23" s="1"/>
      <c r="D23" s="1">
        <v>3</v>
      </c>
      <c r="E23" s="1"/>
      <c r="F23" s="1">
        <v>5</v>
      </c>
      <c r="G23" s="1">
        <f>D23*D6+F23*F6</f>
        <v>4400</v>
      </c>
    </row>
    <row r="24" spans="1:7" x14ac:dyDescent="0.25">
      <c r="A24" s="10" t="s">
        <v>37</v>
      </c>
      <c r="B24" s="12" t="s">
        <v>38</v>
      </c>
      <c r="C24" s="1"/>
      <c r="D24" s="1"/>
      <c r="E24" s="1">
        <v>15</v>
      </c>
      <c r="F24" s="1"/>
      <c r="G24" s="1">
        <f>E24*E6</f>
        <v>12000</v>
      </c>
    </row>
    <row r="25" spans="1:7" x14ac:dyDescent="0.25">
      <c r="A25" s="10" t="s">
        <v>30</v>
      </c>
      <c r="B25" s="13" t="s">
        <v>32</v>
      </c>
      <c r="C25" s="7"/>
      <c r="D25" s="7"/>
      <c r="E25" s="7"/>
      <c r="F25" s="7">
        <v>5</v>
      </c>
      <c r="G25" s="7">
        <f>F25*F6</f>
        <v>2600</v>
      </c>
    </row>
    <row r="26" spans="1:7" x14ac:dyDescent="0.25">
      <c r="A26" s="10" t="s">
        <v>33</v>
      </c>
      <c r="B26" s="12" t="s">
        <v>34</v>
      </c>
      <c r="C26" s="1">
        <v>4</v>
      </c>
      <c r="D26" s="1"/>
      <c r="E26" s="1"/>
      <c r="F26" s="1">
        <v>4</v>
      </c>
      <c r="G26" s="1">
        <f>C26*C6+F26*F6</f>
        <v>3880</v>
      </c>
    </row>
    <row r="27" spans="1:7" x14ac:dyDescent="0.25">
      <c r="A27" s="15" t="s">
        <v>35</v>
      </c>
      <c r="B27" s="29" t="s">
        <v>36</v>
      </c>
      <c r="C27" s="6"/>
      <c r="D27" s="6"/>
      <c r="E27" s="6"/>
      <c r="F27" s="6">
        <v>10</v>
      </c>
      <c r="G27" s="6">
        <f>F27*F6</f>
        <v>5200</v>
      </c>
    </row>
    <row r="28" spans="1:7" x14ac:dyDescent="0.25">
      <c r="A28" s="39" t="s">
        <v>39</v>
      </c>
      <c r="B28" s="39"/>
      <c r="C28" s="18">
        <f>(C11+C14+C18+C19+C22+C26)*C6</f>
        <v>6750</v>
      </c>
      <c r="D28" s="5">
        <f>(D11+D12+D13+D14+D15+D16+D17+D18+D19+D20+D21+D22+D23)*D6</f>
        <v>44400</v>
      </c>
      <c r="E28" s="5">
        <f>(E10+E11+E13+E14+E24)*E6</f>
        <v>23200</v>
      </c>
      <c r="F28" s="5">
        <f>(F23+F25+F26+F27)*F6</f>
        <v>12480</v>
      </c>
      <c r="G28" s="5">
        <f>SUM(G10:G27)</f>
        <v>86830</v>
      </c>
    </row>
    <row r="29" spans="1:7" x14ac:dyDescent="0.25">
      <c r="A29" s="40" t="s">
        <v>40</v>
      </c>
      <c r="B29" s="40"/>
      <c r="C29" s="19">
        <f>C28*1.2</f>
        <v>8100</v>
      </c>
      <c r="D29" s="4">
        <f>D28*1.2</f>
        <v>53280</v>
      </c>
      <c r="E29" s="4">
        <f>E28*1.2</f>
        <v>27840</v>
      </c>
      <c r="F29" s="4">
        <f>F28*1.2</f>
        <v>14976</v>
      </c>
      <c r="G29" s="4">
        <f>G28*1.2</f>
        <v>104196</v>
      </c>
    </row>
  </sheetData>
  <mergeCells count="6">
    <mergeCell ref="A1:B1"/>
    <mergeCell ref="A28:B28"/>
    <mergeCell ref="A29:B29"/>
    <mergeCell ref="A5:B5"/>
    <mergeCell ref="A6:B6"/>
    <mergeCell ref="A3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2E017-FFCA-428F-9934-9B35DC69F879}">
  <dimension ref="A1:G28"/>
  <sheetViews>
    <sheetView workbookViewId="0">
      <selection activeCell="A26" sqref="A26"/>
    </sheetView>
  </sheetViews>
  <sheetFormatPr baseColWidth="10" defaultColWidth="8.85546875" defaultRowHeight="15" x14ac:dyDescent="0.25"/>
  <cols>
    <col min="1" max="1" width="22.5703125" customWidth="1"/>
    <col min="2" max="2" width="35.140625" customWidth="1"/>
    <col min="3" max="3" width="13.42578125" customWidth="1"/>
    <col min="4" max="4" width="12.85546875" customWidth="1"/>
    <col min="5" max="5" width="13.5703125" customWidth="1"/>
    <col min="6" max="6" width="20.85546875" customWidth="1"/>
  </cols>
  <sheetData>
    <row r="1" spans="1:6" x14ac:dyDescent="0.25">
      <c r="B1" s="2" t="s">
        <v>0</v>
      </c>
    </row>
    <row r="3" spans="1:6" x14ac:dyDescent="0.25">
      <c r="B3" s="2" t="s">
        <v>1</v>
      </c>
      <c r="C3" s="2"/>
      <c r="D3" s="2"/>
      <c r="E3" s="2"/>
    </row>
    <row r="5" spans="1:6" x14ac:dyDescent="0.25">
      <c r="A5" s="42" t="s">
        <v>2</v>
      </c>
      <c r="B5" s="43"/>
      <c r="C5" s="3" t="s">
        <v>3</v>
      </c>
      <c r="D5" s="3" t="s">
        <v>4</v>
      </c>
      <c r="E5" s="3" t="s">
        <v>5</v>
      </c>
      <c r="F5" s="3" t="s">
        <v>6</v>
      </c>
    </row>
    <row r="6" spans="1:6" x14ac:dyDescent="0.25">
      <c r="A6" s="44" t="s">
        <v>8</v>
      </c>
      <c r="B6" s="45"/>
      <c r="C6" s="1">
        <v>450</v>
      </c>
      <c r="D6" s="1">
        <v>600</v>
      </c>
      <c r="E6" s="1">
        <v>800</v>
      </c>
      <c r="F6" s="1">
        <v>520</v>
      </c>
    </row>
    <row r="7" spans="1:6" x14ac:dyDescent="0.25">
      <c r="B7" s="26"/>
      <c r="C7" s="1"/>
      <c r="D7" s="1"/>
      <c r="E7" s="1"/>
      <c r="F7" s="1"/>
    </row>
    <row r="8" spans="1:6" x14ac:dyDescent="0.25">
      <c r="A8" s="14" t="s">
        <v>10</v>
      </c>
      <c r="B8" s="11" t="s">
        <v>11</v>
      </c>
      <c r="C8" s="8" t="s">
        <v>3</v>
      </c>
      <c r="D8" s="8" t="s">
        <v>4</v>
      </c>
      <c r="E8" s="8" t="s">
        <v>5</v>
      </c>
      <c r="F8" s="8" t="s">
        <v>6</v>
      </c>
    </row>
    <row r="9" spans="1:6" x14ac:dyDescent="0.25">
      <c r="A9" s="10" t="s">
        <v>13</v>
      </c>
      <c r="B9" s="12" t="s">
        <v>14</v>
      </c>
      <c r="C9" s="1"/>
      <c r="D9" s="1"/>
      <c r="E9" s="1">
        <v>10</v>
      </c>
      <c r="F9" s="1"/>
    </row>
    <row r="10" spans="1:6" x14ac:dyDescent="0.25">
      <c r="A10" s="10" t="s">
        <v>15</v>
      </c>
      <c r="B10" s="12" t="s">
        <v>16</v>
      </c>
      <c r="C10" s="1">
        <v>5</v>
      </c>
      <c r="D10" s="1">
        <v>3</v>
      </c>
      <c r="E10" s="1">
        <v>2</v>
      </c>
      <c r="F10" s="1"/>
    </row>
    <row r="11" spans="1:6" x14ac:dyDescent="0.25">
      <c r="A11" s="10" t="s">
        <v>17</v>
      </c>
      <c r="B11" s="12" t="s">
        <v>18</v>
      </c>
      <c r="C11" s="1"/>
      <c r="D11" s="1">
        <v>5</v>
      </c>
      <c r="E11" s="1"/>
      <c r="F11" s="1"/>
    </row>
    <row r="12" spans="1:6" x14ac:dyDescent="0.25">
      <c r="A12" s="10" t="s">
        <v>17</v>
      </c>
      <c r="B12" s="12" t="s">
        <v>19</v>
      </c>
      <c r="C12" s="1"/>
      <c r="D12" s="1">
        <v>10</v>
      </c>
      <c r="E12" s="1">
        <v>1</v>
      </c>
      <c r="F12" s="1"/>
    </row>
    <row r="13" spans="1:6" x14ac:dyDescent="0.25">
      <c r="A13" s="10" t="s">
        <v>17</v>
      </c>
      <c r="B13" s="12" t="s">
        <v>20</v>
      </c>
      <c r="C13" s="1">
        <v>2</v>
      </c>
      <c r="D13" s="1">
        <v>10</v>
      </c>
      <c r="E13" s="1">
        <v>1</v>
      </c>
      <c r="F13" s="1"/>
    </row>
    <row r="14" spans="1:6" x14ac:dyDescent="0.25">
      <c r="A14" s="10" t="s">
        <v>17</v>
      </c>
      <c r="B14" s="12" t="s">
        <v>21</v>
      </c>
      <c r="C14" s="1"/>
      <c r="D14" s="1">
        <v>10</v>
      </c>
      <c r="E14" s="1"/>
      <c r="F14" s="1"/>
    </row>
    <row r="15" spans="1:6" x14ac:dyDescent="0.25">
      <c r="A15" s="10" t="s">
        <v>17</v>
      </c>
      <c r="B15" s="12" t="s">
        <v>22</v>
      </c>
      <c r="C15" s="1"/>
      <c r="D15" s="1">
        <v>10</v>
      </c>
      <c r="E15" s="1"/>
      <c r="F15" s="1"/>
    </row>
    <row r="16" spans="1:6" x14ac:dyDescent="0.25">
      <c r="A16" s="10" t="s">
        <v>17</v>
      </c>
      <c r="B16" s="12" t="s">
        <v>23</v>
      </c>
      <c r="C16" s="1">
        <v>1</v>
      </c>
      <c r="D16" s="1">
        <v>5</v>
      </c>
      <c r="E16" s="1"/>
      <c r="F16" s="1"/>
    </row>
    <row r="17" spans="1:7" x14ac:dyDescent="0.25">
      <c r="A17" s="10" t="s">
        <v>17</v>
      </c>
      <c r="B17" s="12" t="s">
        <v>24</v>
      </c>
      <c r="C17" s="1">
        <v>2</v>
      </c>
      <c r="D17" s="1">
        <v>5</v>
      </c>
      <c r="E17" s="1"/>
      <c r="F17" s="1"/>
    </row>
    <row r="18" spans="1:7" x14ac:dyDescent="0.25">
      <c r="A18" s="10" t="s">
        <v>17</v>
      </c>
      <c r="B18" s="12" t="s">
        <v>25</v>
      </c>
      <c r="C18" s="1"/>
      <c r="D18" s="1">
        <v>5</v>
      </c>
      <c r="E18" s="1"/>
      <c r="F18" s="1"/>
    </row>
    <row r="19" spans="1:7" x14ac:dyDescent="0.25">
      <c r="A19" s="10" t="s">
        <v>17</v>
      </c>
      <c r="B19" s="12" t="s">
        <v>26</v>
      </c>
      <c r="C19" s="1"/>
      <c r="D19" s="1">
        <v>1</v>
      </c>
      <c r="E19" s="1"/>
      <c r="F19" s="1"/>
    </row>
    <row r="20" spans="1:7" x14ac:dyDescent="0.25">
      <c r="A20" s="10" t="s">
        <v>17</v>
      </c>
      <c r="B20" s="12" t="s">
        <v>27</v>
      </c>
      <c r="C20" s="1">
        <v>1</v>
      </c>
      <c r="D20" s="1">
        <v>2</v>
      </c>
      <c r="E20" s="1"/>
      <c r="F20" s="1"/>
    </row>
    <row r="21" spans="1:7" x14ac:dyDescent="0.25">
      <c r="A21" s="10" t="s">
        <v>28</v>
      </c>
      <c r="B21" s="12" t="s">
        <v>29</v>
      </c>
      <c r="C21" s="1"/>
      <c r="D21" s="1">
        <v>3</v>
      </c>
      <c r="E21" s="1"/>
      <c r="F21" s="1">
        <v>5</v>
      </c>
    </row>
    <row r="22" spans="1:7" x14ac:dyDescent="0.25">
      <c r="A22" s="10" t="s">
        <v>30</v>
      </c>
      <c r="B22" s="12" t="s">
        <v>31</v>
      </c>
      <c r="C22" s="1"/>
      <c r="D22" s="1">
        <v>5</v>
      </c>
      <c r="E22" s="1"/>
      <c r="F22" s="1"/>
    </row>
    <row r="23" spans="1:7" x14ac:dyDescent="0.25">
      <c r="A23" s="10" t="s">
        <v>30</v>
      </c>
      <c r="B23" s="13" t="s">
        <v>32</v>
      </c>
      <c r="C23" s="7"/>
      <c r="D23" s="7"/>
      <c r="E23" s="7"/>
      <c r="F23" s="7">
        <v>5</v>
      </c>
    </row>
    <row r="24" spans="1:7" x14ac:dyDescent="0.25">
      <c r="A24" s="10" t="s">
        <v>33</v>
      </c>
      <c r="B24" s="12" t="s">
        <v>34</v>
      </c>
      <c r="C24" s="1">
        <v>4</v>
      </c>
      <c r="D24" s="1"/>
      <c r="E24" s="1"/>
      <c r="F24" s="1">
        <v>4</v>
      </c>
    </row>
    <row r="25" spans="1:7" x14ac:dyDescent="0.25">
      <c r="A25" s="10" t="s">
        <v>35</v>
      </c>
      <c r="B25" s="13" t="s">
        <v>36</v>
      </c>
      <c r="C25" s="7"/>
      <c r="D25" s="7"/>
      <c r="E25" s="7"/>
      <c r="F25" s="7">
        <v>10</v>
      </c>
    </row>
    <row r="26" spans="1:7" x14ac:dyDescent="0.25">
      <c r="A26" s="20" t="s">
        <v>37</v>
      </c>
      <c r="B26" s="10" t="s">
        <v>38</v>
      </c>
      <c r="C26" s="10"/>
      <c r="D26" s="10"/>
      <c r="E26" s="10">
        <v>15</v>
      </c>
      <c r="F26" s="10"/>
    </row>
    <row r="27" spans="1:7" x14ac:dyDescent="0.25">
      <c r="A27" s="10"/>
      <c r="B27" s="18" t="s">
        <v>39</v>
      </c>
      <c r="C27" s="5"/>
      <c r="D27" s="5"/>
      <c r="E27" s="5"/>
      <c r="F27" s="21"/>
      <c r="G27" s="23"/>
    </row>
    <row r="28" spans="1:7" x14ac:dyDescent="0.25">
      <c r="A28" s="10"/>
      <c r="B28" s="19" t="s">
        <v>40</v>
      </c>
      <c r="C28" s="4"/>
      <c r="D28" s="4"/>
      <c r="E28" s="4"/>
      <c r="F28" s="22"/>
      <c r="G28" s="23"/>
    </row>
  </sheetData>
  <mergeCells count="2">
    <mergeCell ref="A5:B5"/>
    <mergeCell ref="A6:B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34C94-9DAE-4BE0-ADEA-286C158DF3BA}">
  <dimension ref="A1:G28"/>
  <sheetViews>
    <sheetView workbookViewId="0">
      <selection activeCell="B31" sqref="B31"/>
    </sheetView>
  </sheetViews>
  <sheetFormatPr baseColWidth="10" defaultColWidth="8.85546875" defaultRowHeight="15" x14ac:dyDescent="0.25"/>
  <cols>
    <col min="1" max="1" width="22.5703125" customWidth="1"/>
    <col min="2" max="2" width="35.140625" customWidth="1"/>
    <col min="3" max="3" width="13.42578125" customWidth="1"/>
    <col min="4" max="4" width="12.85546875" customWidth="1"/>
    <col min="5" max="5" width="13.5703125" customWidth="1"/>
    <col min="6" max="6" width="20.85546875" customWidth="1"/>
  </cols>
  <sheetData>
    <row r="1" spans="1:6" x14ac:dyDescent="0.25">
      <c r="B1" s="2" t="s">
        <v>0</v>
      </c>
    </row>
    <row r="3" spans="1:6" x14ac:dyDescent="0.25">
      <c r="B3" s="2" t="s">
        <v>1</v>
      </c>
      <c r="C3" s="2"/>
      <c r="D3" s="2"/>
      <c r="E3" s="2"/>
    </row>
    <row r="5" spans="1:6" x14ac:dyDescent="0.2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spans="1:6" x14ac:dyDescent="0.25">
      <c r="B6" s="1" t="s">
        <v>8</v>
      </c>
      <c r="C6" s="1">
        <v>450</v>
      </c>
      <c r="D6" s="1">
        <v>600</v>
      </c>
      <c r="E6" s="1">
        <v>800</v>
      </c>
      <c r="F6" s="1">
        <v>520</v>
      </c>
    </row>
    <row r="7" spans="1:6" x14ac:dyDescent="0.25">
      <c r="B7" s="17"/>
      <c r="C7" s="1"/>
      <c r="D7" s="1"/>
      <c r="E7" s="1"/>
      <c r="F7" s="1"/>
    </row>
    <row r="8" spans="1:6" x14ac:dyDescent="0.25">
      <c r="A8" s="14" t="s">
        <v>10</v>
      </c>
      <c r="B8" s="11" t="s">
        <v>11</v>
      </c>
      <c r="C8" s="8" t="s">
        <v>3</v>
      </c>
      <c r="D8" s="8" t="s">
        <v>4</v>
      </c>
      <c r="E8" s="8" t="s">
        <v>5</v>
      </c>
      <c r="F8" s="8" t="s">
        <v>6</v>
      </c>
    </row>
    <row r="9" spans="1:6" x14ac:dyDescent="0.25">
      <c r="A9" s="10" t="s">
        <v>13</v>
      </c>
      <c r="B9" s="12" t="s">
        <v>14</v>
      </c>
      <c r="C9" s="1"/>
      <c r="D9" s="1"/>
      <c r="E9" s="1">
        <v>10</v>
      </c>
      <c r="F9" s="1"/>
    </row>
    <row r="10" spans="1:6" x14ac:dyDescent="0.25">
      <c r="A10" s="10" t="s">
        <v>15</v>
      </c>
      <c r="B10" s="12" t="s">
        <v>16</v>
      </c>
      <c r="C10" s="1">
        <v>5</v>
      </c>
      <c r="D10" s="1">
        <v>3</v>
      </c>
      <c r="E10" s="1">
        <v>2</v>
      </c>
      <c r="F10" s="1"/>
    </row>
    <row r="11" spans="1:6" x14ac:dyDescent="0.25">
      <c r="A11" s="10" t="s">
        <v>17</v>
      </c>
      <c r="B11" s="12" t="s">
        <v>18</v>
      </c>
      <c r="C11" s="1"/>
      <c r="D11" s="1">
        <v>5</v>
      </c>
      <c r="E11" s="1"/>
      <c r="F11" s="1"/>
    </row>
    <row r="12" spans="1:6" x14ac:dyDescent="0.25">
      <c r="A12" s="10" t="s">
        <v>17</v>
      </c>
      <c r="B12" s="12" t="s">
        <v>19</v>
      </c>
      <c r="C12" s="1"/>
      <c r="D12" s="1">
        <v>10</v>
      </c>
      <c r="E12" s="1">
        <v>1</v>
      </c>
      <c r="F12" s="1"/>
    </row>
    <row r="13" spans="1:6" x14ac:dyDescent="0.25">
      <c r="A13" s="10" t="s">
        <v>17</v>
      </c>
      <c r="B13" s="12" t="s">
        <v>20</v>
      </c>
      <c r="C13" s="1">
        <v>2</v>
      </c>
      <c r="D13" s="1">
        <v>10</v>
      </c>
      <c r="E13" s="1">
        <v>1</v>
      </c>
      <c r="F13" s="1"/>
    </row>
    <row r="14" spans="1:6" x14ac:dyDescent="0.25">
      <c r="A14" s="10" t="s">
        <v>17</v>
      </c>
      <c r="B14" s="12" t="s">
        <v>21</v>
      </c>
      <c r="C14" s="1"/>
      <c r="D14" s="1">
        <v>10</v>
      </c>
      <c r="E14" s="1"/>
      <c r="F14" s="1"/>
    </row>
    <row r="15" spans="1:6" x14ac:dyDescent="0.25">
      <c r="A15" s="10" t="s">
        <v>17</v>
      </c>
      <c r="B15" s="12" t="s">
        <v>22</v>
      </c>
      <c r="C15" s="1"/>
      <c r="D15" s="1">
        <v>10</v>
      </c>
      <c r="E15" s="1"/>
      <c r="F15" s="1"/>
    </row>
    <row r="16" spans="1:6" x14ac:dyDescent="0.25">
      <c r="A16" s="10" t="s">
        <v>17</v>
      </c>
      <c r="B16" s="12" t="s">
        <v>23</v>
      </c>
      <c r="C16" s="1">
        <v>1</v>
      </c>
      <c r="D16" s="1">
        <v>5</v>
      </c>
      <c r="E16" s="1"/>
      <c r="F16" s="1"/>
    </row>
    <row r="17" spans="1:7" x14ac:dyDescent="0.25">
      <c r="A17" s="10" t="s">
        <v>17</v>
      </c>
      <c r="B17" s="12" t="s">
        <v>24</v>
      </c>
      <c r="C17" s="1">
        <v>2</v>
      </c>
      <c r="D17" s="1">
        <v>5</v>
      </c>
      <c r="E17" s="1"/>
      <c r="F17" s="1"/>
    </row>
    <row r="18" spans="1:7" x14ac:dyDescent="0.25">
      <c r="A18" s="10" t="s">
        <v>17</v>
      </c>
      <c r="B18" s="12" t="s">
        <v>25</v>
      </c>
      <c r="C18" s="1"/>
      <c r="D18" s="1">
        <v>5</v>
      </c>
      <c r="E18" s="1"/>
      <c r="F18" s="1"/>
    </row>
    <row r="19" spans="1:7" x14ac:dyDescent="0.25">
      <c r="A19" s="10" t="s">
        <v>17</v>
      </c>
      <c r="B19" s="12" t="s">
        <v>26</v>
      </c>
      <c r="C19" s="1"/>
      <c r="D19" s="1">
        <v>1</v>
      </c>
      <c r="E19" s="1"/>
      <c r="F19" s="1"/>
    </row>
    <row r="20" spans="1:7" x14ac:dyDescent="0.25">
      <c r="A20" s="10" t="s">
        <v>17</v>
      </c>
      <c r="B20" s="12" t="s">
        <v>27</v>
      </c>
      <c r="C20" s="1">
        <v>1</v>
      </c>
      <c r="D20" s="1">
        <v>2</v>
      </c>
      <c r="E20" s="1"/>
      <c r="F20" s="1"/>
    </row>
    <row r="21" spans="1:7" x14ac:dyDescent="0.25">
      <c r="A21" s="10" t="s">
        <v>28</v>
      </c>
      <c r="B21" s="12" t="s">
        <v>29</v>
      </c>
      <c r="C21" s="1"/>
      <c r="D21" s="1">
        <v>3</v>
      </c>
      <c r="E21" s="1"/>
      <c r="F21" s="1">
        <v>5</v>
      </c>
    </row>
    <row r="22" spans="1:7" x14ac:dyDescent="0.25">
      <c r="A22" s="10" t="s">
        <v>30</v>
      </c>
      <c r="B22" s="12" t="s">
        <v>31</v>
      </c>
      <c r="C22" s="1"/>
      <c r="D22" s="1">
        <v>5</v>
      </c>
      <c r="E22" s="1"/>
      <c r="F22" s="1"/>
    </row>
    <row r="23" spans="1:7" x14ac:dyDescent="0.25">
      <c r="A23" s="10" t="s">
        <v>30</v>
      </c>
      <c r="B23" s="13" t="s">
        <v>32</v>
      </c>
      <c r="C23" s="7"/>
      <c r="D23" s="7"/>
      <c r="E23" s="7"/>
      <c r="F23" s="7">
        <v>5</v>
      </c>
    </row>
    <row r="24" spans="1:7" x14ac:dyDescent="0.25">
      <c r="A24" s="10" t="s">
        <v>33</v>
      </c>
      <c r="B24" s="12" t="s">
        <v>34</v>
      </c>
      <c r="C24" s="1">
        <v>4</v>
      </c>
      <c r="D24" s="1"/>
      <c r="E24" s="1"/>
      <c r="F24" s="1">
        <v>4</v>
      </c>
    </row>
    <row r="25" spans="1:7" x14ac:dyDescent="0.25">
      <c r="A25" s="10" t="s">
        <v>35</v>
      </c>
      <c r="B25" s="13" t="s">
        <v>36</v>
      </c>
      <c r="C25" s="7"/>
      <c r="D25" s="7"/>
      <c r="E25" s="7"/>
      <c r="F25" s="7">
        <v>10</v>
      </c>
    </row>
    <row r="26" spans="1:7" x14ac:dyDescent="0.25">
      <c r="A26" s="24" t="s">
        <v>37</v>
      </c>
      <c r="B26" s="15" t="s">
        <v>38</v>
      </c>
      <c r="C26" s="15"/>
      <c r="D26" s="15"/>
      <c r="E26" s="15">
        <v>15</v>
      </c>
      <c r="F26" s="15"/>
    </row>
    <row r="27" spans="1:7" x14ac:dyDescent="0.25">
      <c r="A27" s="25"/>
      <c r="B27" s="18" t="s">
        <v>39</v>
      </c>
      <c r="C27" s="5"/>
      <c r="D27" s="5"/>
      <c r="E27" s="5"/>
      <c r="F27" s="21"/>
      <c r="G27" s="23"/>
    </row>
    <row r="28" spans="1:7" x14ac:dyDescent="0.25">
      <c r="A28" s="10"/>
      <c r="B28" s="19" t="s">
        <v>40</v>
      </c>
      <c r="C28" s="4"/>
      <c r="D28" s="4"/>
      <c r="E28" s="4"/>
      <c r="F28" s="22"/>
      <c r="G28" s="2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DB669126791D46A72CACFB971DA434" ma:contentTypeVersion="10" ma:contentTypeDescription="Crée un document." ma:contentTypeScope="" ma:versionID="ea815beca60c6e6195fb8ca8b88d4b37">
  <xsd:schema xmlns:xsd="http://www.w3.org/2001/XMLSchema" xmlns:xs="http://www.w3.org/2001/XMLSchema" xmlns:p="http://schemas.microsoft.com/office/2006/metadata/properties" xmlns:ns2="488869cc-a9d1-4445-93a6-e9d986f2ee4c" targetNamespace="http://schemas.microsoft.com/office/2006/metadata/properties" ma:root="true" ma:fieldsID="8377651d4f959b7e5fc5bb057305271d" ns2:_="">
    <xsd:import namespace="488869cc-a9d1-4445-93a6-e9d986f2ee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8869cc-a9d1-4445-93a6-e9d986f2ee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alises d’images" ma:readOnly="false" ma:fieldId="{5cf76f15-5ced-4ddc-b409-7134ff3c332f}" ma:taxonomyMulti="true" ma:sspId="afbc0575-b692-48b3-94b0-968145802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8869cc-a9d1-4445-93a6-e9d986f2ee4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570B6E0-6D16-460B-B91B-C933386FC7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8869cc-a9d1-4445-93a6-e9d986f2ee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14E456A-7A02-4248-9310-2F79052BCCE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609A88-3B3F-40DD-BB04-5A054F7394D4}">
  <ds:schemaRefs>
    <ds:schemaRef ds:uri="http://schemas.microsoft.com/office/2006/metadata/properties"/>
    <ds:schemaRef ds:uri="http://schemas.microsoft.com/office/infopath/2007/PartnerControls"/>
    <ds:schemaRef ds:uri="488869cc-a9d1-4445-93a6-e9d986f2ee4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Tableau budget</vt:lpstr>
      <vt:lpstr>Feuil2</vt:lpstr>
      <vt:lpstr>Feuil3</vt:lpstr>
      <vt:lpstr>Tableau avec calcul</vt:lpstr>
      <vt:lpstr>Feuil1</vt:lpstr>
      <vt:lpstr>Feuil4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Paul PINSOLLE</cp:lastModifiedBy>
  <cp:revision/>
  <dcterms:created xsi:type="dcterms:W3CDTF">2022-12-20T08:46:16Z</dcterms:created>
  <dcterms:modified xsi:type="dcterms:W3CDTF">2026-10-29T09:34:41Z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0x010100C9DB669126791D46A72CACFB971DA434</vt:lpwstr>
  </property>
  <property fmtid="{D5CDD505-2E9C-101B-9397-08002B2CF9AE}" pid="3" name="MediaServiceImageTags">
    <vt:lpwstr/>
  </property>
</Properties>
</file>